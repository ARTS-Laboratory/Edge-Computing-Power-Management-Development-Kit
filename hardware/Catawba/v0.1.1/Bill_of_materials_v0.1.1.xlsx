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stjohn/Desktop/Edge-Computing-Power-Management-Development-Kit/hardware/v0.1.1/"/>
    </mc:Choice>
  </mc:AlternateContent>
  <xr:revisionPtr revIDLastSave="0" documentId="13_ncr:1_{C523EE78-AAE1-1046-974C-C76389470357}" xr6:coauthVersionLast="47" xr6:coauthVersionMax="47" xr10:uidLastSave="{00000000-0000-0000-0000-000000000000}"/>
  <bookViews>
    <workbookView xWindow="0" yWindow="680" windowWidth="34200" windowHeight="21460" firstSheet="6" activeTab="7" xr2:uid="{00000000-000D-0000-FFFF-FFFF00000000}"/>
  </bookViews>
  <sheets>
    <sheet name="PATCH 6.0" sheetId="1" r:id="rId1"/>
    <sheet name="PATCH 7.0" sheetId="2" r:id="rId2"/>
    <sheet name="PATCH 7.1A" sheetId="3" r:id="rId3"/>
    <sheet name="PATCH 7.1D" sheetId="4" r:id="rId4"/>
    <sheet name="PATCH 8.0A" sheetId="5" r:id="rId5"/>
    <sheet name="PATCH 8.0D" sheetId="6" r:id="rId6"/>
    <sheet name="BOM" sheetId="8" r:id="rId7"/>
    <sheet name="HDK Spares Kit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8" l="1"/>
  <c r="G5" i="8"/>
  <c r="G6" i="8"/>
  <c r="G7" i="8"/>
  <c r="G21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3" i="8"/>
  <c r="G2" i="8"/>
</calcChain>
</file>

<file path=xl/sharedStrings.xml><?xml version="1.0" encoding="utf-8"?>
<sst xmlns="http://schemas.openxmlformats.org/spreadsheetml/2006/main" count="703" uniqueCount="167">
  <si>
    <t xml:space="preserve">Part </t>
  </si>
  <si>
    <t>Manufacturer</t>
  </si>
  <si>
    <t>Part #</t>
  </si>
  <si>
    <t>Datasheet</t>
  </si>
  <si>
    <t>Purchase link</t>
  </si>
  <si>
    <t>STM processor</t>
  </si>
  <si>
    <t>STMicroelectronics</t>
  </si>
  <si>
    <t>STM32L433CCT6</t>
  </si>
  <si>
    <t>https://www.st.com/content/ccc/resource/technical/document/datasheet/f7/a0/fc/27/24/4e/4f/3f/DM00257192.pdf/files/DM00257192.pdf/jcr:content/translations/en.DM00257192.pdf</t>
  </si>
  <si>
    <t xml:space="preserve">https://www.digikey.com/en/products/detail/stmicroelectronics/STM32L433CCT6/6132750 </t>
  </si>
  <si>
    <t>Voltage regulator</t>
  </si>
  <si>
    <t>onsemi</t>
  </si>
  <si>
    <t>NCP711ASN330T1GCT</t>
  </si>
  <si>
    <t>https://www.onsemi.com/pdf/datasheet/ncp711-d.pdf</t>
  </si>
  <si>
    <t>https://www.digikey.com/en/products/detail/onsemi/NCP711ASN330T1G/13145350</t>
  </si>
  <si>
    <t>Accelerometer</t>
  </si>
  <si>
    <t>AIS2IHTR</t>
  </si>
  <si>
    <t>https://www.mouser.com/datasheet/2/389/ais2ih-2006758.pdf</t>
  </si>
  <si>
    <t xml:space="preserve">https://www.mouser.com/ProductDetail/STMicroelectronics/AIS2IHTR?qs=DPoM0jnrROVkhCyRDuEZVw%3D%3D </t>
  </si>
  <si>
    <t>Real-time clock</t>
  </si>
  <si>
    <t>Analog Devices</t>
  </si>
  <si>
    <t>DS1343D</t>
  </si>
  <si>
    <t>https://www.analog.com/media/en/technical-documentation/data-sheets/ds1343-ds1344.pdf</t>
  </si>
  <si>
    <t xml:space="preserve">https://www.mouser.com/ProductDetail/Analog-Devices-Maxim-Integrated/DS1343D-3%2b?qs=BYAGKC2QcPwYgaVDdtk2xg%3D%3D </t>
  </si>
  <si>
    <t xml:space="preserve">Crystal Oscillator </t>
  </si>
  <si>
    <t>ABRACON</t>
  </si>
  <si>
    <t>ABS0532</t>
  </si>
  <si>
    <t>https://www.mouser.com/datasheet/2/3/ABS05-2584975.pdf</t>
  </si>
  <si>
    <t>https://www.mouser.com/ProductDetail/ABRACON/ABS05-32.768kHz-6-T?qs=XAiT9M5g4x8nsBWAGyPFJQ%3D%3D</t>
  </si>
  <si>
    <t>Coin cell connector</t>
  </si>
  <si>
    <t>Keystone Electronics</t>
  </si>
  <si>
    <t>n/a</t>
  </si>
  <si>
    <t>https://www.mouser.com/ProductDetail/Keystone-Electronics/3000?qs=Mn60vILZNNbcLh3ZnzbtUw%3D%3D</t>
  </si>
  <si>
    <t>Pulse sensor</t>
  </si>
  <si>
    <t>SparkFun Electronics</t>
  </si>
  <si>
    <t>https://cdn.shopify.com/s/files/1/0100/6632/files/Pulse_Sensor_Data_Sheet.pdf?14358792549038671331</t>
  </si>
  <si>
    <t>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</t>
  </si>
  <si>
    <t>Micro SD card socket</t>
  </si>
  <si>
    <t>Adafruit Industries</t>
  </si>
  <si>
    <t xml:space="preserve">https://www.adafruit.com/product/1660?gclid=Cj0KCQjwmZejBhC_ARIsAGhCqncZjaQhr-LefIBRFMpgePNAJfdB3pbIjjmWm3j-9NXz6HtUKvtc2xUaAlBuEALw_wcB </t>
  </si>
  <si>
    <t>Wired JST connector</t>
  </si>
  <si>
    <t>https://www.digikey.com/en/products/detail/adafruit-industries-llc/3814/9380221</t>
  </si>
  <si>
    <t>Jumper headers</t>
  </si>
  <si>
    <t>Würth Elektronik</t>
  </si>
  <si>
    <t>https://www.digikey.com/en/products/detail/w%C3%BCrth-elektronik/61301211121/4846844</t>
  </si>
  <si>
    <t>100 nF capacitor (0201)</t>
  </si>
  <si>
    <t>Murata Electronics</t>
  </si>
  <si>
    <t>GRT033C81A104KE01D</t>
  </si>
  <si>
    <t>https://www.digikey.com/en/products/detail/murata-electronics/GRT033C81A104KE01D/5416654</t>
  </si>
  <si>
    <t>10 nF capacitor (0201)</t>
  </si>
  <si>
    <t>GRM033R61A103KA01D</t>
  </si>
  <si>
    <t>https://www.digikey.com/en/products/detail/murata-electronics/GRM033R61A103KA01D/702432</t>
  </si>
  <si>
    <t>1 uF capacitor (0201)</t>
  </si>
  <si>
    <t>GRM033R60J105MEA2D</t>
  </si>
  <si>
    <t>https://www.digikey.com/en/products/detail/murata-electronics/GRM033R60J105MEA2D/4213369</t>
  </si>
  <si>
    <t>4.7 uF capacitor (0603)</t>
  </si>
  <si>
    <t>Samsung Electro-Mechanics</t>
  </si>
  <si>
    <t>CL10A475KP8NNNC</t>
  </si>
  <si>
    <t>https://www.digikey.com/en/products/detail/samsung-electro-mechanics/CL10A475KP8NNNC/3889130</t>
  </si>
  <si>
    <t>Ordered</t>
  </si>
  <si>
    <t>Date Ordered</t>
  </si>
  <si>
    <t>Stored Amount</t>
  </si>
  <si>
    <t>Need to order</t>
  </si>
  <si>
    <t>Microchip processor</t>
  </si>
  <si>
    <t>Microchip Technology</t>
  </si>
  <si>
    <t>ATSAMD21G18A-AU</t>
  </si>
  <si>
    <t>https://ww1.microchip.com/downloads/en/DeviceDoc/SAM-D21-DA1-Family-Data-Sheet-DS40001882H.pdf</t>
  </si>
  <si>
    <t>https://www.digikey.com/en/products/detail/microchip-technology/ATSAMD21G18A-AU/5056473</t>
  </si>
  <si>
    <t>YES</t>
  </si>
  <si>
    <t>https://cdn-shop.adafruit.com/datasheets/15882.pdf</t>
  </si>
  <si>
    <t>USB connector</t>
  </si>
  <si>
    <t>Molex</t>
  </si>
  <si>
    <t>https://www.mouser.com/ProductDetail/538-105017-0001</t>
  </si>
  <si>
    <t>100 nF capacitor (0603)/ 0.1uF</t>
  </si>
  <si>
    <t>CL10B104KB8NNWC</t>
  </si>
  <si>
    <t>https://www.digikey.com/en/products/detail/samsung-electro-mechanics/CL10B104KB8NNWC/3887593  </t>
  </si>
  <si>
    <t>10+20+10</t>
  </si>
  <si>
    <t>10 nF capacitor (0603)/10000pF</t>
  </si>
  <si>
    <t>CL10B103KB8NNNC</t>
  </si>
  <si>
    <t>https://www.digikey.com/en/products/detail/samsung-electro-mechanics/CL10B103KB8NNNC/3886667</t>
  </si>
  <si>
    <t>50+5</t>
  </si>
  <si>
    <t>1 uF capacitor (0603)</t>
  </si>
  <si>
    <t>CL10A105KA8NNNC</t>
  </si>
  <si>
    <t>https://www.digikey.com/en/products/detail/samsung-electro-mechanics/CL10A105KA8NNNC/3886760</t>
  </si>
  <si>
    <t>50+40</t>
  </si>
  <si>
    <t>22 pF capacitor (0603)</t>
  </si>
  <si>
    <t>KEMET</t>
  </si>
  <si>
    <t>C0603C220J5GAC7867</t>
  </si>
  <si>
    <t>https://www.digikey.com/en/products/detail/kemet/C0603C220J5GAC7867/411055</t>
  </si>
  <si>
    <t>ADXL326BCPZ-RL7</t>
  </si>
  <si>
    <t>https://www.analog.com/media/en/technical-documentation/data-sheets/ADXL326.pdf</t>
  </si>
  <si>
    <t>https://www.digikey.com/en/products/detail/analog-devices-inc/ADXL326BCPZ-RL7/2043340</t>
  </si>
  <si>
    <t>NXP</t>
  </si>
  <si>
    <t>PCF8523T/1,118</t>
  </si>
  <si>
    <t>https://www.mouser.com/datasheet/2/302/PCF8523-3139173.pdf</t>
  </si>
  <si>
    <t>https://www.mouser.com/ProductDetail/NXP-Semiconductors/PCF8523T-1118?qs=beN0Cyoe8YmmXShRMIPCwg%3D%3D</t>
  </si>
  <si>
    <t>200890-0104</t>
  </si>
  <si>
    <t>https://www.mouser.com/ProductDetail/Molex/200890-0104?qs=W0yvOO0ixfEnnOFPCBrjtg%3D%3D</t>
  </si>
  <si>
    <t>47 uF capacitor (1206)</t>
  </si>
  <si>
    <t>F930J476MAA</t>
  </si>
  <si>
    <t>https://www.digikey.com/en/products/detail/kyocera-avx/F930J476MAA/4005131</t>
  </si>
  <si>
    <t>10 kΩ resistor (0805)</t>
  </si>
  <si>
    <t>RC0805FR-0710KL</t>
  </si>
  <si>
    <t>https://www.digikey.com/en/products/detail/yageo/RC0805FR-0710KL/727535</t>
  </si>
  <si>
    <t>NCP711ASN330T1G</t>
  </si>
  <si>
    <t>Right angle JST connector</t>
  </si>
  <si>
    <t xml:space="preserve"> </t>
  </si>
  <si>
    <t>10 kΩ resistor (0603)</t>
  </si>
  <si>
    <t xml:space="preserve">https://www.digikey.com/en/products/detail/yageo/RC0603FR-0710KL/726880 </t>
  </si>
  <si>
    <t>https://www.digikey.com/en/products/detail/panasonic-energy/CR1220/269740</t>
  </si>
  <si>
    <t>CR1220</t>
  </si>
  <si>
    <t>https://www.digikey.com/en/products/detail/nxp-usa-inc/PCF8523T-1-118/2530422?s=N4IgTCBcDaIAoGEBiAOArGAzAFQPQEYAaffFEAXQF8g</t>
  </si>
  <si>
    <t>https://www.digikey.com/en/products/detail/abracon-llc/ABS05-32-768KHZ-6-T/15621978?s=N4IgTCBcDaIIICEDKAGArAWgMxgHQHYA2ADgGsAJALw0IwBUQBdAXyA</t>
  </si>
  <si>
    <t>https://www.digikey.com/en/products/detail/keystone-electronics/3000/227440</t>
  </si>
  <si>
    <t>https://www.digikey.com/en/products/detail/adafruit-industries-llc/1660/13996127?s=N4IgTCBcDaIIwDYEAYAEBZAlgYwE4HsBlAERAF0BfIA</t>
  </si>
  <si>
    <t>https://www.digikey.com/en/products/detail/molex/1050170001/2350832?s=N4IgTCBcDaIIwAYCsC4HYC0DtxAXQF8g</t>
  </si>
  <si>
    <t>Designator</t>
  </si>
  <si>
    <t>Component</t>
  </si>
  <si>
    <t>Quantity per Board</t>
  </si>
  <si>
    <t>Total Quantity</t>
  </si>
  <si>
    <t>Unit Cost</t>
  </si>
  <si>
    <t>Total Cost</t>
  </si>
  <si>
    <t>Mfr: #</t>
  </si>
  <si>
    <t>Notes</t>
  </si>
  <si>
    <t>Vendor 2</t>
  </si>
  <si>
    <t>100 nF capacitor (0603)</t>
  </si>
  <si>
    <t xml:space="preserve">https://www.rocelec.com/part/01t4w00000PPv4UAAT-PCF8523T1118?utm_term=&amp;utm_campaign=USA+-+PMAX&amp;utm_source=adwords&amp;utm_medium=ppc&amp;hsa_net=adwords&amp;hsa_tgt=&amp;hsa_ad=&amp;hsa_acc=2274246953&amp;hsa_grp=&amp;hsa_mt=&amp;hsa_cam=19547754453&amp;hsa_kw=&amp;hsa_ver=3&amp;hsa_src=x&amp;gad_source=4&amp;gad_campaignid=19547755830&amp;gbraid=0AAAAADfiOy4l2s7LtXtyp4aJxaq1bq5_A&amp;gclid=CjwKCAjw8arQBhB9EiwAfIKdQq3H62HP9EGlikIHKTUOl6LLbTMsnXpAQsdRDmIj-SLJR3Y_Lyf35xoCwh4QAvD_BwE </t>
  </si>
  <si>
    <t>ABS05-32.768KHZ-6-T</t>
  </si>
  <si>
    <t>Coin Cell battery</t>
  </si>
  <si>
    <t>C0603C220J5GACTU</t>
  </si>
  <si>
    <t>RC0603FR-0710KL</t>
  </si>
  <si>
    <t>C6, C7, C8</t>
  </si>
  <si>
    <t>C5</t>
  </si>
  <si>
    <t>C1, C9, C10</t>
  </si>
  <si>
    <t>C3, C4</t>
  </si>
  <si>
    <t>C2</t>
  </si>
  <si>
    <t>R1, R2</t>
  </si>
  <si>
    <t>MCU1</t>
  </si>
  <si>
    <t>VR1</t>
  </si>
  <si>
    <t>ACC1</t>
  </si>
  <si>
    <t>RTC1</t>
  </si>
  <si>
    <t>CO1, CO2</t>
  </si>
  <si>
    <t>B1</t>
  </si>
  <si>
    <t>PPG</t>
  </si>
  <si>
    <t>USB</t>
  </si>
  <si>
    <t>BT1</t>
  </si>
  <si>
    <t>~</t>
  </si>
  <si>
    <t>SD1</t>
  </si>
  <si>
    <t xml:space="preserve">https://www.arrow.com/en/products/adxl326bcpz-rl7/analog-devices.html </t>
  </si>
  <si>
    <t>Vendor 3</t>
  </si>
  <si>
    <t xml:space="preserve">https://www.newark.com/nxp/pcf8523t-1-118/alarm-rtc-40-to-85deg-c-soic-8/dp/52X6196 </t>
  </si>
  <si>
    <t>Total:</t>
  </si>
  <si>
    <t>Vendo 1</t>
  </si>
  <si>
    <t xml:space="preserve">https://www.mouser.com/ProductDetail/Adafruit/1660?qs=GURawfaeGuCXDyGMVdt6Kw%3D%3D </t>
  </si>
  <si>
    <t xml:space="preserve">https://www.digikey.com/en/products/detail/nxp-usa-inc/PCF85063AT-AY/5170038 </t>
  </si>
  <si>
    <t>https://www.digikey.com/en/products/detail/jst-sales-america-inc/S2B-PH-K-S/926626?gclsrc=aw.ds&amp;gad_source=1&amp;gad_campaignid=20470400566&amp;gbraid=0AAAAADrbLlg8DtxjqiUDwety2k6cAQ0XJ&amp;gclid=Cj0KCQjwlLDQBhDjARIsAPlIefHomTfTUoZ7D0P94S5mAVF3io454K95fTm66EAoDjt__qy-ohuCJpkaAg9wEALw_wcB</t>
  </si>
  <si>
    <t>This part is no longer being manufactured.</t>
  </si>
  <si>
    <t xml:space="preserve">https://www.weylan-d.com/comListSearch?goodsModel=ADXL326BCPZ-RL7&amp;fuzzy=true </t>
  </si>
  <si>
    <t>Vendor 4</t>
  </si>
  <si>
    <t xml:space="preserve">https://www.mouser.com/ProductDetail/Analog-Devices/ADXL326BCPZ-RL7?qs=WIvQP4zGanhGLfyCrKqf%252Bw%3D%3D </t>
  </si>
  <si>
    <t>Quantity</t>
  </si>
  <si>
    <t>Vendor 1</t>
  </si>
  <si>
    <t xml:space="preserve">https://www.digikey.com/en/products/detail/nxp-usa-inc/PCF8523T-1-118/2530422?s=N4IgTCBcDaIAoGEBiAOArGAzAFQPQEYAaffFEAXQF8g </t>
  </si>
  <si>
    <t xml:space="preserve">https://www.digikey.com/en/products/detail/abracon-llc/ABS05-32-768KHZ-6-T/15621978?s=N4IgTCBcDaIIICEDKAGArAWgMxgHQHYA2ADgGsAJALw0IwBUQBdAXyA </t>
  </si>
  <si>
    <t xml:space="preserve">https://www.adafruit.com/product/1660?srsltid=AfmBOorrT80rcMpqkBpUUoU3cXXT8WnDFTf0aV5b-lrQjgjUIcOMFST0 </t>
  </si>
  <si>
    <t>Out of stock at Mouser, but it looks like it will arrive in around a month, which shouldn't be a problem. Shipping through Adafruit would be $10</t>
  </si>
  <si>
    <t xml:space="preserve">https://www.digikey.com/en/products/detail/molex/1050170001/2350832?s=N4IgTCBcDaIIwAYCsC4HYC0DtxAXQF8g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</si>
</sst>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fill"/>
    </xf>
    <xf numFmtId="0" fontId="0" fillId="0" borderId="0" xfId="0" applyAlignment="1">
      <alignment horizontal="left" vertical="center"/>
    </xf>
    <xf numFmtId="0" fontId="1" fillId="0" borderId="0" xfId="1" applyAlignment="1">
      <alignment horizontal="fill" vertical="center"/>
    </xf>
    <xf numFmtId="0" fontId="1" fillId="0" borderId="0" xfId="1" applyAlignment="1"/>
    <xf numFmtId="0" fontId="1" fillId="0" borderId="0" xfId="1"/>
    <xf numFmtId="0" fontId="1" fillId="0" borderId="0" xfId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8" fontId="0" fillId="0" borderId="0" xfId="0" applyNumberFormat="1"/>
    <xf numFmtId="8" fontId="7" fillId="0" borderId="0" xfId="0" applyNumberFormat="1" applyFont="1"/>
    <xf numFmtId="0" fontId="0" fillId="0" borderId="0" xfId="1" applyFont="1"/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3" Type="http://schemas.openxmlformats.org/officeDocument/2006/relationships/hyperlink" Target="https://www.adafruit.com/product/1660?gclid=Cj0KCQjwmZejBhC_ARIsAGhCqncZjaQhr-LefIBRFMpgePNAJfdB3pbIjjmWm3j-9NXz6HtUKvtc2xUaAlBuEALw_wcB" TargetMode="External"/><Relationship Id="rId18" Type="http://schemas.openxmlformats.org/officeDocument/2006/relationships/hyperlink" Target="https://www.analog.com/media/en/technical-documentation/data-sheets/ds1343-ds1344.pdf" TargetMode="External"/><Relationship Id="rId3" Type="http://schemas.openxmlformats.org/officeDocument/2006/relationships/hyperlink" Target="https://www.digikey.com/en/products/detail/murata-electronics/GRM033R60J105MEA2D/4213369" TargetMode="External"/><Relationship Id="rId7" Type="http://schemas.openxmlformats.org/officeDocument/2006/relationships/hyperlink" Target="https://www.digikey.com/en/products/detail/onsemi/NCP711ASN330T1G/13145350" TargetMode="External"/><Relationship Id="rId12" Type="http://schemas.openxmlformats.org/officeDocument/2006/relationships/hyperlink" Target="https://nam02.safelinks.protection.outlook.com/?url=https%3A%2F%2Fwww.digikey.com%2Fen%2Fproducts%2Fdetail%2Fstmicroelectronics%2FSTM32L433CCT6%2F6132750&amp;data=05%7C01%7CJONASAM%40email.sc.edu%7Cfa2abe2a90e643578ec708db35e06e48%7C4b2a4b19d135420e8bb2b1cd238998cc%7C0%7C0%7C638163010280021268%7CUnknown%7CTWFpbGZsb3d8eyJWIjoiMC4wLjAwMDAiLCJQIjoiV2luMzIiLCJBTiI6Ik1haWwiLCJXVCI6Mn0%3D%7C3000%7C%7C%7C&amp;sdata=vh%2FcKvDajel037BlAOXVua1Auy7JWzmtx0xasz2diPs%3D&amp;reserved=0" TargetMode="External"/><Relationship Id="rId17" Type="http://schemas.openxmlformats.org/officeDocument/2006/relationships/hyperlink" Target="https://www.mouser.com/datasheet/2/389/ais2ih-2006758.pdf" TargetMode="External"/><Relationship Id="rId2" Type="http://schemas.openxmlformats.org/officeDocument/2006/relationships/hyperlink" Target="https://nam02.safelinks.protection.outlook.com/?url=https%3A%2F%2Fwww.digikey.com%2Fen%2Fproducts%2Fdetail%2Fmurata-electronics%2FGRT033C81A104KE01D%2F5416654&amp;data=05%7C01%7CJONASAM%40email.sc.edu%7C631d78645620443948f408daf4a64e1c%7C4b2a4b19d135420e8bb2b1cd238998cc%7C0%7C0%7C638091292352946369%7CUnknown%7CTWFpbGZsb3d8eyJWIjoiMC4wLjAwMDAiLCJQIjoiV2luMzIiLCJBTiI6Ik1haWwiLCJXVCI6Mn0%3D%7C3000%7C%7C%7C&amp;sdata=Zm7Vc5p9E%2Fo305wdTLKc0Q%2BOuLXdXSnuJJ0vjaaFnkA%3D&amp;reserved=0" TargetMode="External"/><Relationship Id="rId16" Type="http://schemas.openxmlformats.org/officeDocument/2006/relationships/hyperlink" Target="https://www.onsemi.com/pdf/datasheet/ncp711-d.pdf" TargetMode="External"/><Relationship Id="rId20" Type="http://schemas.openxmlformats.org/officeDocument/2006/relationships/hyperlink" Target="https://cdn.shopify.com/s/files/1/0100/6632/files/Pulse_Sensor_Data_Sheet.pdf?14358792549038671331" TargetMode="External"/><Relationship Id="rId1" Type="http://schemas.openxmlformats.org/officeDocument/2006/relationships/hyperlink" Target="https://nam02.safelinks.protection.outlook.com/?url=https%3A%2F%2Fwww.digikey.com%2Fen%2Fproducts%2Fdetail%2Fmurata-electronics%2FGRM033R61A103KA01D%2F702432&amp;data=05%7C01%7CJONASAM%40email.sc.edu%7C631d78645620443948f408daf4a64e1c%7C4b2a4b19d135420e8bb2b1cd238998cc%7C0%7C0%7C638091292352946369%7CUnknown%7CTWFpbGZsb3d8eyJWIjoiMC4wLjAwMDAiLCJQIjoiV2luMzIiLCJBTiI6Ik1haWwiLCJXVCI6Mn0%3D%7C3000%7C%7C%7C&amp;sdata=UUmMgW0zDA8HhAXvDC67panvsDNuQ8ug7KfnJLNr4gA%3D&amp;reserved=0" TargetMode="External"/><Relationship Id="rId6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1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5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15" Type="http://schemas.openxmlformats.org/officeDocument/2006/relationships/hyperlink" Target="https://www.st.com/content/ccc/resource/technical/document/datasheet/f7/a0/fc/27/24/4e/4f/3f/DM00257192.pdf/files/DM00257192.pdf/jcr:content/translations/en.DM00257192.pdf" TargetMode="External"/><Relationship Id="rId10" Type="http://schemas.openxmlformats.org/officeDocument/2006/relationships/hyperlink" Target="https://www.mouser.com/ProductDetail/Analog-Devices-Maxim-Integrated/DS1343D-3%2b?qs=BYAGKC2QcPwYgaVDdtk2xg%3D%3D" TargetMode="External"/><Relationship Id="rId19" Type="http://schemas.openxmlformats.org/officeDocument/2006/relationships/hyperlink" Target="https://www.mouser.com/datasheet/2/3/ABS05-2584975.pdf" TargetMode="External"/><Relationship Id="rId4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9" Type="http://schemas.openxmlformats.org/officeDocument/2006/relationships/hyperlink" Target="https://www.mouser.com/ProductDetail/ABRACON/ABS05-32.768kHz-6-T?qs=XAiT9M5g4x8nsBWAGyPFJQ%3D%3D" TargetMode="External"/><Relationship Id="rId14" Type="http://schemas.openxmlformats.org/officeDocument/2006/relationships/hyperlink" Target="https://www.digikey.com/en/products/detail/adafruit-industries-llc/3814/938022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sung-electro-mechanics/CL10B104KB8NNWC/3887593" TargetMode="External"/><Relationship Id="rId13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8" Type="http://schemas.openxmlformats.org/officeDocument/2006/relationships/hyperlink" Target="https://www.analog.com/media/en/technical-documentation/data-sheets/ds1343-ds1344.pdf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1.microchip.com/downloads/en/DeviceDoc/SAM-D21-DA1-Family-Data-Sheet-DS40001882H.pdf" TargetMode="External"/><Relationship Id="rId7" Type="http://schemas.openxmlformats.org/officeDocument/2006/relationships/hyperlink" Target="https://www.digikey.com/en/products/detail/samsung-electro-mechanics/CL10A105KA8NNNC/3886760" TargetMode="External"/><Relationship Id="rId12" Type="http://schemas.openxmlformats.org/officeDocument/2006/relationships/hyperlink" Target="https://www.digikey.com/en/products/detail/onsemi/NCP711ASN330T1G/13145350" TargetMode="External"/><Relationship Id="rId17" Type="http://schemas.openxmlformats.org/officeDocument/2006/relationships/hyperlink" Target="https://www.mouser.com/datasheet/2/389/ais2ih-2006758.pdf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onsemi.com/pdf/datasheet/ncp711-d.pdf" TargetMode="External"/><Relationship Id="rId20" Type="http://schemas.openxmlformats.org/officeDocument/2006/relationships/hyperlink" Target="https://cdn.shopify.com/s/files/1/0100/6632/files/Pulse_Sensor_Data_Sheet.pdf?14358792549038671331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mouser.com/ProductDetail/Analog-Devices-Maxim-Integrated/DS1343D-3%2b?qs=BYAGKC2QcPwYgaVDdtk2xg%3D%3D" TargetMode="External"/><Relationship Id="rId11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5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15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23" Type="http://schemas.openxmlformats.org/officeDocument/2006/relationships/hyperlink" Target="https://www.mouser.com/ProductDetail/538-105017-0001" TargetMode="External"/><Relationship Id="rId10" Type="http://schemas.openxmlformats.org/officeDocument/2006/relationships/hyperlink" Target="https://www.mouser.com/ProductDetail/ABRACON/ABS05-32.768kHz-6-T?qs=XAiT9M5g4x8nsBWAGyPFJQ%3D%3D" TargetMode="External"/><Relationship Id="rId19" Type="http://schemas.openxmlformats.org/officeDocument/2006/relationships/hyperlink" Target="https://www.mouser.com/datasheet/2/3/ABS05-2584975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digikey.com/en/products/detail/samsung-electro-mechanics/CL10B103KB8NNNC/3886667" TargetMode="External"/><Relationship Id="rId14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22" Type="http://schemas.openxmlformats.org/officeDocument/2006/relationships/hyperlink" Target="https://cdn-shop.adafruit.com/datasheets/15882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ABRACON/ABS05-32.768kHz-6-T?qs=XAiT9M5g4x8nsBWAGyPFJQ%3D%3D" TargetMode="External"/><Relationship Id="rId13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8" Type="http://schemas.openxmlformats.org/officeDocument/2006/relationships/hyperlink" Target="https://cdn.shopify.com/s/files/1/0100/6632/files/Pulse_Sensor_Data_Sheet.pdf?14358792549038671331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ProductDetail/NXP-Semiconductors/PCF8523T-1118?qs=beN0Cyoe8YmmXShRMIPCwg%3D%3D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17" Type="http://schemas.openxmlformats.org/officeDocument/2006/relationships/hyperlink" Target="https://www.mouser.com/datasheet/2/3/ABS05-2584975.pdf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02/PCF8523-3139173.pdf" TargetMode="External"/><Relationship Id="rId20" Type="http://schemas.openxmlformats.org/officeDocument/2006/relationships/hyperlink" Target="https://cdn-shop.adafruit.com/datasheets/15882.pdf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5" Type="http://schemas.openxmlformats.org/officeDocument/2006/relationships/hyperlink" Target="https://www.digikey.com/en/products/detail/analog-devices-inc/ADXL326BCPZ-RL7/2043340" TargetMode="External"/><Relationship Id="rId15" Type="http://schemas.openxmlformats.org/officeDocument/2006/relationships/hyperlink" Target="https://www.analog.com/media/en/technical-documentation/data-sheets/ADXL326.pdf" TargetMode="External"/><Relationship Id="rId10" Type="http://schemas.openxmlformats.org/officeDocument/2006/relationships/hyperlink" Target="https://www.digikey.com/en/products/detail/onsemi/NCP711ASN330T1G/13145350" TargetMode="External"/><Relationship Id="rId19" Type="http://schemas.openxmlformats.org/officeDocument/2006/relationships/hyperlink" Target="https://ww1.microchip.com/downloads/en/DeviceDoc/SAM-D21-DA1-Family-Data-Sheet-DS40001882H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4" Type="http://schemas.openxmlformats.org/officeDocument/2006/relationships/hyperlink" Target="https://www.onsemi.com/pdf/datasheet/ncp711-d.pdf" TargetMode="External"/><Relationship Id="rId22" Type="http://schemas.openxmlformats.org/officeDocument/2006/relationships/hyperlink" Target="https://www.mouser.com/ProductDetail/Molex/200890-0104?qs=W0yvOO0ixfEnnOFPCBrjtg%3D%3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sung-electro-mechanics/CL10B103KB8NNNC/3886667" TargetMode="External"/><Relationship Id="rId13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18" Type="http://schemas.openxmlformats.org/officeDocument/2006/relationships/hyperlink" Target="https://cdn.shopify.com/s/files/1/0100/6632/files/Pulse_Sensor_Data_Sheet.pdf?14358792549038671331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ProductDetail/Molex/200890-0104?qs=W0yvOO0ixfEnnOFPCBrjtg%3D%3D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7" Type="http://schemas.openxmlformats.org/officeDocument/2006/relationships/hyperlink" Target="https://www.mouser.com/datasheet/2/3/ABS05-2584975.pdf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89/ais2ih-2006758.pdf" TargetMode="External"/><Relationship Id="rId20" Type="http://schemas.openxmlformats.org/officeDocument/2006/relationships/hyperlink" Target="https://cdn-shop.adafruit.com/datasheets/15882.pdf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www.digikey.com/en/products/detail/onsemi/NCP711ASN330T1G/13145350" TargetMode="External"/><Relationship Id="rId5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15" Type="http://schemas.openxmlformats.org/officeDocument/2006/relationships/hyperlink" Target="https://www.onsemi.com/pdf/datasheet/ncp711-d.pdf" TargetMode="External"/><Relationship Id="rId23" Type="http://schemas.openxmlformats.org/officeDocument/2006/relationships/hyperlink" Target="https://www.mouser.com/ProductDetail/NXP-Semiconductors/PCF8523T-1118?qs=beN0Cyoe8YmmXShRMIPCwg%3D%3D" TargetMode="External"/><Relationship Id="rId10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9" Type="http://schemas.openxmlformats.org/officeDocument/2006/relationships/hyperlink" Target="https://ww1.microchip.com/downloads/en/DeviceDoc/SAM-D21-DA1-Family-Data-Sheet-DS40001882H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mouser.com/ProductDetail/ABRACON/ABS05-32.768kHz-6-T?qs=XAiT9M5g4x8nsBWAGyPFJQ%3D%3D" TargetMode="External"/><Relationship Id="rId14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22" Type="http://schemas.openxmlformats.org/officeDocument/2006/relationships/hyperlink" Target="https://www.mouser.com/datasheet/2/302/PCF8523-3139173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ABRACON/ABS05-32.768kHz-6-T?qs=XAiT9M5g4x8nsBWAGyPFJQ%3D%3D" TargetMode="External"/><Relationship Id="rId13" Type="http://schemas.openxmlformats.org/officeDocument/2006/relationships/hyperlink" Target="https://www.onsemi.com/pdf/datasheet/ncp711-d.pdf" TargetMode="External"/><Relationship Id="rId18" Type="http://schemas.openxmlformats.org/officeDocument/2006/relationships/hyperlink" Target="https://ww1.microchip.com/downloads/en/DeviceDoc/SAM-D21-DA1-Family-Data-Sheet-DS40001882H.pdf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ProductDetail/Molex/200890-0104?qs=W0yvOO0ixfEnnOFPCBrjtg%3D%3D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7" Type="http://schemas.openxmlformats.org/officeDocument/2006/relationships/hyperlink" Target="https://cdn.shopify.com/s/files/1/0100/6632/files/Pulse_Sensor_Data_Sheet.pdf?14358792549038671331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/ABS05-2584975.pdf" TargetMode="External"/><Relationship Id="rId20" Type="http://schemas.openxmlformats.org/officeDocument/2006/relationships/hyperlink" Target="https://www.mouser.com/ProductDetail/NXP-Semiconductors/PCF8523T-1118?qs=beN0Cyoe8YmmXShRMIPCwg%3D%3D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5" Type="http://schemas.openxmlformats.org/officeDocument/2006/relationships/hyperlink" Target="https://www.digikey.com/en/products/detail/analog-devices-inc/ADXL326BCPZ-RL7/2043340" TargetMode="External"/><Relationship Id="rId15" Type="http://schemas.openxmlformats.org/officeDocument/2006/relationships/hyperlink" Target="https://www.mouser.com/datasheet/2/302/PCF8523-3139173.pdf" TargetMode="External"/><Relationship Id="rId10" Type="http://schemas.openxmlformats.org/officeDocument/2006/relationships/hyperlink" Target="https://www.digikey.com/en/products/detail/onsemi/NCP711ASN330T1G/13145350" TargetMode="External"/><Relationship Id="rId19" Type="http://schemas.openxmlformats.org/officeDocument/2006/relationships/hyperlink" Target="https://cdn-shop.adafruit.com/datasheets/15882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4" Type="http://schemas.openxmlformats.org/officeDocument/2006/relationships/hyperlink" Target="https://www.analog.com/media/en/technical-documentation/data-sheets/ADXL326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sung-electro-mechanics/CL10B103KB8NNNC/3886667" TargetMode="External"/><Relationship Id="rId13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8" Type="http://schemas.openxmlformats.org/officeDocument/2006/relationships/hyperlink" Target="https://ww1.microchip.com/downloads/en/DeviceDoc/SAM-D21-DA1-Family-Data-Sheet-DS40001882H.pdf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datasheet/2/302/PCF8523-3139173.pdf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7" Type="http://schemas.openxmlformats.org/officeDocument/2006/relationships/hyperlink" Target="https://cdn.shopify.com/s/files/1/0100/6632/files/Pulse_Sensor_Data_Sheet.pdf?14358792549038671331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/ABS05-2584975.pdf" TargetMode="External"/><Relationship Id="rId20" Type="http://schemas.openxmlformats.org/officeDocument/2006/relationships/hyperlink" Target="https://www.mouser.com/ProductDetail/Molex/200890-0104?qs=W0yvOO0ixfEnnOFPCBrjtg%3D%3D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www.digikey.com/en/products/detail/onsemi/NCP711ASN330T1G/13145350" TargetMode="External"/><Relationship Id="rId5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15" Type="http://schemas.openxmlformats.org/officeDocument/2006/relationships/hyperlink" Target="https://www.mouser.com/datasheet/2/389/ais2ih-2006758.pdf" TargetMode="External"/><Relationship Id="rId10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9" Type="http://schemas.openxmlformats.org/officeDocument/2006/relationships/hyperlink" Target="https://cdn-shop.adafruit.com/datasheets/15882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mouser.com/ProductDetail/ABRACON/ABS05-32.768kHz-6-T?qs=XAiT9M5g4x8nsBWAGyPFJQ%3D%3D" TargetMode="External"/><Relationship Id="rId14" Type="http://schemas.openxmlformats.org/officeDocument/2006/relationships/hyperlink" Target="https://www.onsemi.com/pdf/datasheet/ncp711-d.pdf" TargetMode="External"/><Relationship Id="rId22" Type="http://schemas.openxmlformats.org/officeDocument/2006/relationships/hyperlink" Target="https://www.mouser.com/ProductDetail/NXP-Semiconductors/PCF8523T-1118?qs=beN0Cyoe8YmmXShRMIPCwg%3D%3D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3" Type="http://schemas.openxmlformats.org/officeDocument/2006/relationships/hyperlink" Target="https://www.digikey.com/en/products/detail/molex/1050170001/2350832?s=N4IgTCBcDaIIwAYCsC4HYC0DtxAXQF8g" TargetMode="External"/><Relationship Id="rId18" Type="http://schemas.openxmlformats.org/officeDocument/2006/relationships/hyperlink" Target="https://www.arrow.com/en/products/adxl326bcpz-rl7/analog-devices.html" TargetMode="External"/><Relationship Id="rId26" Type="http://schemas.openxmlformats.org/officeDocument/2006/relationships/hyperlink" Target="https://www.zaikostore.com/zaikostore/en/stockList?stockSearchNew=1&amp;headerSearch=1&amp;productName_forFind=ADXL326BCPZ-RL7&amp;typeStock_forFind=all&amp;viewCount=50&amp;pageNumber=1" TargetMode="External"/><Relationship Id="rId3" Type="http://schemas.openxmlformats.org/officeDocument/2006/relationships/hyperlink" Target="https://www.digikey.com/en/products/detail/analog-devices-inc/ADXL326BCPZ-RL7/2043340" TargetMode="External"/><Relationship Id="rId21" Type="http://schemas.openxmlformats.org/officeDocument/2006/relationships/hyperlink" Target="https://www.digikey.com/en/products/detail/nxp-usa-inc/PCF85063AT-AY/5170038" TargetMode="External"/><Relationship Id="rId7" Type="http://schemas.openxmlformats.org/officeDocument/2006/relationships/hyperlink" Target="https://www.digikey.com/en/products/detail/onsemi/NCP711ASN330T1G/13145350" TargetMode="External"/><Relationship Id="rId12" Type="http://schemas.openxmlformats.org/officeDocument/2006/relationships/hyperlink" Target="https://www.digikey.com/en/products/detail/panasonic-energy/CR1220/269740" TargetMode="External"/><Relationship Id="rId17" Type="http://schemas.openxmlformats.org/officeDocument/2006/relationships/hyperlink" Target="https://www.digikey.com/en/products/detail/adafruit-industries-llc/1660/13996127?s=N4IgTCBcDaIIwDYEAYAEBZAlgYwE4HsBlAERAF0BfIA" TargetMode="External"/><Relationship Id="rId25" Type="http://schemas.openxmlformats.org/officeDocument/2006/relationships/hyperlink" Target="https://www.weylan-d.com/comListSearch?goodsModel=ADXL326BCPZ-RL7&amp;fuzzy=true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digikey.com/en/products/detail/keystone-electronics/3000/227440" TargetMode="External"/><Relationship Id="rId20" Type="http://schemas.openxmlformats.org/officeDocument/2006/relationships/hyperlink" Target="https://www.digikey.com/en/products/detail/nxp-usa-inc/PCF8523T-1-118/2530422?s=N4IgTCBcDaIAoGEBiAOArGAzAFQPQEYAaffFEAXQF8g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1" Type="http://schemas.openxmlformats.org/officeDocument/2006/relationships/hyperlink" Target="https://www.digikey.com/en/products/detail/yageo/RC0603FR-0710KL/726880" TargetMode="External"/><Relationship Id="rId24" Type="http://schemas.openxmlformats.org/officeDocument/2006/relationships/hyperlink" Target="https://www.digikey.com/en/products/detail/jst-sales-america-inc/S2B-PH-K-S/926626?gclsrc=aw.ds&amp;gad_source=1&amp;gad_campaignid=20470400566&amp;gbraid=0AAAAADrbLlg8DtxjqiUDwety2k6cAQ0XJ&amp;gclid=Cj0KCQjwlLDQBhDjARIsAPlIefHomTfTUoZ7D0P94S5mAVF3io454K95fTm66EAoDjt__qy-ohuCJpkaAg9wEALw_wcB" TargetMode="External"/><Relationship Id="rId5" Type="http://schemas.openxmlformats.org/officeDocument/2006/relationships/hyperlink" Target="https://www.digikey.com/en/products/detail/samsung-electro-mechanics/CL10B104KB8NNWC/3887593" TargetMode="External"/><Relationship Id="rId15" Type="http://schemas.openxmlformats.org/officeDocument/2006/relationships/hyperlink" Target="https://www.digikey.com/en/products/detail/abracon-llc/ABS05-32-768KHZ-6-T/15621978?s=N4IgTCBcDaIIICEDKAGArAWgMxgHQHYA2ADgGsAJALw0IwBUQBdAXyA" TargetMode="External"/><Relationship Id="rId23" Type="http://schemas.openxmlformats.org/officeDocument/2006/relationships/hyperlink" Target="https://www.digikey.com/en/products/detail/adafruit-industries-llc/3814/9380221" TargetMode="External"/><Relationship Id="rId10" Type="http://schemas.openxmlformats.org/officeDocument/2006/relationships/hyperlink" Target="https://www.digikey.com/en/products/detail/kyocera-avx/F930J476MAA/4005131" TargetMode="External"/><Relationship Id="rId19" Type="http://schemas.openxmlformats.org/officeDocument/2006/relationships/hyperlink" Target="https://www.newark.com/nxp/pcf8523t-1-118/alarm-rtc-40-to-85deg-c-soic-8/dp/52X6196" TargetMode="External"/><Relationship Id="rId4" Type="http://schemas.openxmlformats.org/officeDocument/2006/relationships/hyperlink" Target="https://www.digikey.com/en/products/detail/samsung-electro-mechanics/CL10A105KA8NNNC/3886760" TargetMode="External"/><Relationship Id="rId9" Type="http://schemas.openxmlformats.org/officeDocument/2006/relationships/hyperlink" Target="https://www.digikey.com/en/products/detail/yageo/RC0805FR-0710KL/727535" TargetMode="External"/><Relationship Id="rId14" Type="http://schemas.openxmlformats.org/officeDocument/2006/relationships/hyperlink" Target="https://www.rocelec.com/part/01t4w00000PPv4UAAT-PCF8523T1118?utm_term=&amp;utm_campaign=USA+-+PMAX&amp;utm_source=adwords&amp;utm_medium=ppc&amp;hsa_net=adwords&amp;hsa_tgt=&amp;hsa_ad=&amp;hsa_acc=2274246953&amp;hsa_grp=&amp;hsa_mt=&amp;hsa_cam=19547754453&amp;hsa_kw=&amp;hsa_ver=3&amp;hsa_src=x&amp;gad_source=4&amp;gad_campaignid=19547755830&amp;gbraid=0AAAAADfiOy4l2s7LtXtyp4aJxaq1bq5_A&amp;gclid=CjwKCAjw8arQBhB9EiwAfIKdQq3H62HP9EGlikIHKTUOl6LLbTMsnXpAQsdRDmIj-SLJR3Y_Lyf35xoCwh4QAvD_BwE" TargetMode="External"/><Relationship Id="rId22" Type="http://schemas.openxmlformats.org/officeDocument/2006/relationships/hyperlink" Target="https://www.mouser.com/ProductDetail/Adafruit/1660?qs=GURawfaeGuCXDyGMVdt6Kw%3D%3D" TargetMode="External"/><Relationship Id="rId27" Type="http://schemas.openxmlformats.org/officeDocument/2006/relationships/hyperlink" Target="https://www.mouser.com/ProductDetail/Analog-Devices/ADXL326BCPZ-RL7?qs=WIvQP4zGanhGLfyCrKqf%252Bw%3D%3D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olex/1050170001/2350832?s=N4IgTCBcDaIIwAYCsC4HYC0DtxAXQF8g" TargetMode="External"/><Relationship Id="rId3" Type="http://schemas.openxmlformats.org/officeDocument/2006/relationships/hyperlink" Target="https://www.digikey.com/en/products/detail/nxp-usa-inc/PCF8523T-1-118/2530422?s=N4IgTCBcDaIAoGEBiAOArGAzAFQPQEYAaffFEAXQF8g" TargetMode="External"/><Relationship Id="rId7" Type="http://schemas.openxmlformats.org/officeDocument/2006/relationships/hyperlink" Target="https://www.mouser.com/ProductDetail/Adafruit/1660?qs=GURawfaeGuCXDyGMVdt6Kw%3D%3D" TargetMode="External"/><Relationship Id="rId2" Type="http://schemas.openxmlformats.org/officeDocument/2006/relationships/hyperlink" Target="https://www.digikey.com/en/products/detail/onsemi/NCP711ASN330T1G/13145350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adafruit.com/product/1660?srsltid=AfmBOorrT80rcMpqkBpUUoU3cXXT8WnDFTf0aV5b-lrQjgjUIcOMFST0" TargetMode="External"/><Relationship Id="rId5" Type="http://schemas.openxmlformats.org/officeDocument/2006/relationships/hyperlink" Target="https://www.digikey.com/en/products/detail/jst-sales-america-inc/S2B-PH-K-S/926626?gclsrc=aw.ds&amp;gad_source=1&amp;gad_campaignid=20470400566&amp;gbraid=0AAAAADrbLlg8DtxjqiUDwety2k6cAQ0XJ&amp;gclid=Cj0KCQjwlLDQBhDjARIsAPlIefHomTfTUoZ7D0P94S5mAVF3io454K95fTm66EAoDjt__qy-ohuCJpkaAg9wEALw_wcB" TargetMode="External"/><Relationship Id="rId4" Type="http://schemas.openxmlformats.org/officeDocument/2006/relationships/hyperlink" Target="https://www.digikey.com/en/products/detail/abracon-llc/ABS05-32-768KHZ-6-T/15621978?s=N4IgTCBcDaIIICEDKAGArAWgMxgHQHYA2ADgGsAJALw0IwBUQBdA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opLeftCell="B1" workbookViewId="0">
      <selection activeCell="C10" sqref="C10"/>
    </sheetView>
  </sheetViews>
  <sheetFormatPr baseColWidth="10" defaultColWidth="8.83203125" defaultRowHeight="15" x14ac:dyDescent="0.2"/>
  <cols>
    <col min="1" max="1" width="23.83203125" bestFit="1" customWidth="1"/>
    <col min="2" max="2" width="23.83203125" customWidth="1"/>
    <col min="3" max="3" width="23" bestFit="1" customWidth="1"/>
    <col min="4" max="4" width="23" customWidth="1"/>
    <col min="5" max="5" width="255.664062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t="s">
        <v>6</v>
      </c>
      <c r="C2" s="3" t="s">
        <v>7</v>
      </c>
      <c r="D2" s="9" t="s">
        <v>8</v>
      </c>
      <c r="E2" s="6" t="s">
        <v>9</v>
      </c>
    </row>
    <row r="3" spans="1:5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</row>
    <row r="4" spans="1:5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</row>
    <row r="5" spans="1:5" x14ac:dyDescent="0.2">
      <c r="A5" t="s">
        <v>19</v>
      </c>
      <c r="B5" t="s">
        <v>20</v>
      </c>
      <c r="C5" s="3" t="s">
        <v>21</v>
      </c>
      <c r="D5" s="9" t="s">
        <v>22</v>
      </c>
      <c r="E5" s="4" t="s">
        <v>23</v>
      </c>
    </row>
    <row r="6" spans="1:5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</row>
    <row r="7" spans="1:5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</row>
    <row r="8" spans="1:5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5" x14ac:dyDescent="0.2">
      <c r="A9" t="s">
        <v>37</v>
      </c>
      <c r="B9" t="s">
        <v>38</v>
      </c>
      <c r="C9" s="3">
        <v>1660</v>
      </c>
      <c r="D9" s="3" t="s">
        <v>31</v>
      </c>
      <c r="E9" s="4" t="s">
        <v>39</v>
      </c>
    </row>
    <row r="10" spans="1:5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</row>
    <row r="11" spans="1:5" x14ac:dyDescent="0.2">
      <c r="A11" t="s">
        <v>42</v>
      </c>
      <c r="B11" t="s">
        <v>43</v>
      </c>
      <c r="C11" s="3">
        <v>61301211121</v>
      </c>
      <c r="D11" s="3" t="s">
        <v>31</v>
      </c>
      <c r="E11" s="4" t="s">
        <v>44</v>
      </c>
    </row>
    <row r="12" spans="1:5" x14ac:dyDescent="0.2">
      <c r="A12" t="s">
        <v>45</v>
      </c>
      <c r="B12" t="s">
        <v>46</v>
      </c>
      <c r="C12" s="5" t="s">
        <v>47</v>
      </c>
      <c r="D12" s="3" t="s">
        <v>31</v>
      </c>
      <c r="E12" s="4" t="s">
        <v>48</v>
      </c>
    </row>
    <row r="13" spans="1:5" x14ac:dyDescent="0.2">
      <c r="A13" t="s">
        <v>49</v>
      </c>
      <c r="B13" t="s">
        <v>46</v>
      </c>
      <c r="C13" s="5" t="s">
        <v>50</v>
      </c>
      <c r="D13" s="3" t="s">
        <v>31</v>
      </c>
      <c r="E13" s="4" t="s">
        <v>51</v>
      </c>
    </row>
    <row r="14" spans="1:5" x14ac:dyDescent="0.2">
      <c r="A14" t="s">
        <v>52</v>
      </c>
      <c r="B14" t="s">
        <v>46</v>
      </c>
      <c r="C14" s="5" t="s">
        <v>53</v>
      </c>
      <c r="D14" s="3" t="s">
        <v>31</v>
      </c>
      <c r="E14" s="4" t="s">
        <v>54</v>
      </c>
    </row>
    <row r="15" spans="1:5" x14ac:dyDescent="0.2">
      <c r="A15" t="s">
        <v>55</v>
      </c>
      <c r="B15" t="s">
        <v>56</v>
      </c>
      <c r="C15" s="5" t="s">
        <v>57</v>
      </c>
      <c r="D15" s="3" t="s">
        <v>31</v>
      </c>
      <c r="E15" s="4" t="s">
        <v>58</v>
      </c>
    </row>
  </sheetData>
  <hyperlinks>
    <hyperlink ref="E13" r:id="rId1" xr:uid="{445F204B-EEEF-475E-9879-DC21425BF559}"/>
    <hyperlink ref="E12" r:id="rId2" xr:uid="{C6D5A7AB-C841-452D-B417-0420D323DBA5}"/>
    <hyperlink ref="E14" r:id="rId3" xr:uid="{65E716A3-9658-47B6-BD71-DE38DD6E61C8}"/>
    <hyperlink ref="E15" r:id="rId4" xr:uid="{6FE536B7-5EC1-43C0-A56A-60ABBB61BE69}"/>
    <hyperlink ref="E11" r:id="rId5" xr:uid="{ACE319AE-2AE7-4294-8AE5-5D6591189963}"/>
    <hyperlink ref="E7" r:id="rId6" xr:uid="{EDE17340-2832-4033-88DB-C223E4B4E26E}"/>
    <hyperlink ref="E3" r:id="rId7" xr:uid="{4236F68B-0F1C-4B2B-95E7-3912D97E94B9}"/>
    <hyperlink ref="E8" r:id="rId8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E548DD35-33FF-405A-96B9-3BA1DAED0654}"/>
    <hyperlink ref="E6" r:id="rId9" xr:uid="{1893174A-91AE-45EE-A50C-0B4433868345}"/>
    <hyperlink ref="E5" r:id="rId10" display="https://www.mouser.com/ProductDetail/Analog-Devices-Maxim-Integrated/DS1343D-3%2b?qs=BYAGKC2QcPwYgaVDdtk2xg%3D%3D" xr:uid="{5DBCCC17-555C-4025-B8DF-632A7740F061}"/>
    <hyperlink ref="E4" r:id="rId11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7FFCD0A6-969E-495C-8377-B6105FA5CE81}"/>
    <hyperlink ref="E2" r:id="rId12" display="https://nam02.safelinks.protection.outlook.com/?url=https%3A%2F%2Fwww.digikey.com%2Fen%2Fproducts%2Fdetail%2Fstmicroelectronics%2FSTM32L433CCT6%2F6132750&amp;data=05%7C01%7CJONASAM%40email.sc.edu%7Cfa2abe2a90e643578ec708db35e06e48%7C4b2a4b19d135420e8bb2b1cd238998cc%7C0%7C0%7C638163010280021268%7CUnknown%7CTWFpbGZsb3d8eyJWIjoiMC4wLjAwMDAiLCJQIjoiV2luMzIiLCJBTiI6Ik1haWwiLCJXVCI6Mn0%3D%7C3000%7C%7C%7C&amp;sdata=vh%2FcKvDajel037BlAOXVua1Auy7JWzmtx0xasz2diPs%3D&amp;reserved=0" xr:uid="{241D9698-031A-4C7B-ACAC-BF14659CB2A1}"/>
    <hyperlink ref="E9" r:id="rId13" xr:uid="{60FFF1E6-EA7D-425E-B24F-49FC54FBC32A}"/>
    <hyperlink ref="E10" r:id="rId14" xr:uid="{ADC7658F-B032-46F4-B3CD-2190909DA3B5}"/>
    <hyperlink ref="D2" r:id="rId15" xr:uid="{F92FAC4D-2C68-4810-8FE9-2F7B6B8B8893}"/>
    <hyperlink ref="D3" r:id="rId16" xr:uid="{8DAF217C-FA39-42D1-B353-81A2FD9DE7F8}"/>
    <hyperlink ref="D4" r:id="rId17" xr:uid="{79D24C6C-FB36-4EEC-872F-BC9089540CAF}"/>
    <hyperlink ref="D5" r:id="rId18" xr:uid="{186AD372-1E68-4BD6-93F9-A7C37F0D517A}"/>
    <hyperlink ref="D6" r:id="rId19" xr:uid="{35E56723-0C20-447A-B92E-00B5F78BA725}"/>
    <hyperlink ref="D8" r:id="rId20" xr:uid="{A40CB8CC-71D3-4FC9-96C9-36E36B6491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12D0-471F-455A-8AB9-B9E0E3E742F2}">
  <dimension ref="A1:I19"/>
  <sheetViews>
    <sheetView workbookViewId="0">
      <selection activeCell="C10" sqref="C10"/>
    </sheetView>
  </sheetViews>
  <sheetFormatPr baseColWidth="10" defaultColWidth="8.83203125" defaultRowHeight="15" x14ac:dyDescent="0.2"/>
  <cols>
    <col min="1" max="2" width="29.1640625" customWidth="1"/>
    <col min="3" max="3" width="30.6640625" bestFit="1" customWidth="1"/>
    <col min="4" max="4" width="23" customWidth="1"/>
    <col min="5" max="5" width="27.6640625" customWidth="1"/>
    <col min="7" max="7" width="13.5" bestFit="1" customWidth="1"/>
    <col min="8" max="8" width="18.33203125" customWidth="1"/>
    <col min="9" max="9" width="14.83203125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  <c r="H1" s="10" t="s">
        <v>61</v>
      </c>
      <c r="I1" t="s">
        <v>62</v>
      </c>
    </row>
    <row r="2" spans="1:9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  <c r="H2">
        <v>3</v>
      </c>
      <c r="I2">
        <v>10</v>
      </c>
    </row>
    <row r="3" spans="1:9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  <c r="H3">
        <v>8</v>
      </c>
      <c r="I3">
        <v>5</v>
      </c>
    </row>
    <row r="4" spans="1:9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  <c r="F4" t="s">
        <v>68</v>
      </c>
      <c r="H4">
        <v>1</v>
      </c>
      <c r="I4">
        <v>20</v>
      </c>
    </row>
    <row r="5" spans="1:9" x14ac:dyDescent="0.2">
      <c r="A5" t="s">
        <v>19</v>
      </c>
      <c r="B5" t="s">
        <v>20</v>
      </c>
      <c r="C5" s="3" t="s">
        <v>21</v>
      </c>
      <c r="D5" s="9" t="s">
        <v>22</v>
      </c>
      <c r="E5" s="4" t="s">
        <v>23</v>
      </c>
      <c r="F5" t="s">
        <v>68</v>
      </c>
      <c r="H5">
        <v>1</v>
      </c>
      <c r="I5">
        <v>20</v>
      </c>
    </row>
    <row r="6" spans="1:9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  <c r="H6">
        <v>10</v>
      </c>
    </row>
    <row r="7" spans="1:9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9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9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9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9" x14ac:dyDescent="0.2">
      <c r="A11" t="s">
        <v>70</v>
      </c>
      <c r="B11" t="s">
        <v>71</v>
      </c>
      <c r="C11" s="3">
        <v>1050170001</v>
      </c>
      <c r="D11" s="3" t="s">
        <v>31</v>
      </c>
      <c r="E11" s="8" t="s">
        <v>72</v>
      </c>
    </row>
    <row r="12" spans="1:9" x14ac:dyDescent="0.2">
      <c r="A12" t="s">
        <v>42</v>
      </c>
      <c r="B12" t="s">
        <v>43</v>
      </c>
      <c r="C12" s="3">
        <v>61301211121</v>
      </c>
      <c r="D12" s="3" t="s">
        <v>31</v>
      </c>
      <c r="E12" s="4" t="s">
        <v>44</v>
      </c>
      <c r="F12" t="s">
        <v>68</v>
      </c>
    </row>
    <row r="13" spans="1:9" x14ac:dyDescent="0.2">
      <c r="A13" t="s">
        <v>73</v>
      </c>
      <c r="B13" t="s">
        <v>56</v>
      </c>
      <c r="C13" s="5" t="s">
        <v>74</v>
      </c>
      <c r="D13" s="3" t="s">
        <v>31</v>
      </c>
      <c r="E13" s="4" t="s">
        <v>75</v>
      </c>
      <c r="F13" t="s">
        <v>68</v>
      </c>
      <c r="H13" t="s">
        <v>76</v>
      </c>
    </row>
    <row r="14" spans="1:9" x14ac:dyDescent="0.2">
      <c r="A14" t="s">
        <v>77</v>
      </c>
      <c r="B14" t="s">
        <v>56</v>
      </c>
      <c r="C14" s="5" t="s">
        <v>78</v>
      </c>
      <c r="D14" s="3" t="s">
        <v>31</v>
      </c>
      <c r="E14" s="4" t="s">
        <v>79</v>
      </c>
      <c r="F14" t="s">
        <v>68</v>
      </c>
      <c r="H14" t="s">
        <v>80</v>
      </c>
    </row>
    <row r="15" spans="1:9" x14ac:dyDescent="0.2">
      <c r="A15" t="s">
        <v>81</v>
      </c>
      <c r="B15" t="s">
        <v>56</v>
      </c>
      <c r="C15" s="5" t="s">
        <v>82</v>
      </c>
      <c r="D15" s="3" t="s">
        <v>31</v>
      </c>
      <c r="E15" s="4" t="s">
        <v>83</v>
      </c>
      <c r="F15" t="s">
        <v>68</v>
      </c>
      <c r="H15">
        <v>2</v>
      </c>
      <c r="I15">
        <v>30</v>
      </c>
    </row>
    <row r="16" spans="1:9" x14ac:dyDescent="0.2">
      <c r="A16" t="s">
        <v>55</v>
      </c>
      <c r="B16" t="s">
        <v>56</v>
      </c>
      <c r="C16" s="5" t="s">
        <v>57</v>
      </c>
      <c r="D16" s="3" t="s">
        <v>31</v>
      </c>
      <c r="E16" s="4" t="s">
        <v>58</v>
      </c>
      <c r="F16" t="s">
        <v>68</v>
      </c>
      <c r="H16" t="s">
        <v>84</v>
      </c>
    </row>
    <row r="17" spans="1:8" x14ac:dyDescent="0.2">
      <c r="A17" t="s">
        <v>85</v>
      </c>
      <c r="B17" t="s">
        <v>86</v>
      </c>
      <c r="C17" t="s">
        <v>87</v>
      </c>
      <c r="D17" s="3" t="s">
        <v>31</v>
      </c>
      <c r="E17" s="7" t="s">
        <v>88</v>
      </c>
      <c r="F17" t="s">
        <v>68</v>
      </c>
      <c r="H17">
        <v>40</v>
      </c>
    </row>
    <row r="19" spans="1:8" x14ac:dyDescent="0.2">
      <c r="A19" s="3"/>
    </row>
  </sheetData>
  <hyperlinks>
    <hyperlink ref="E2" r:id="rId1" xr:uid="{979009A7-FFEA-4721-B37A-84AACC47DD2F}"/>
    <hyperlink ref="E17" r:id="rId2" xr:uid="{5841C94D-4077-4C7D-A0FD-137FDDB15DB3}"/>
    <hyperlink ref="E10" r:id="rId3" xr:uid="{3247A5B1-A43A-458B-8A40-AB8207ABD9E8}"/>
    <hyperlink ref="E9" r:id="rId4" xr:uid="{D503676E-C0C0-432F-A023-8C290B540C24}"/>
    <hyperlink ref="E4" r:id="rId5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0BAB7652-3205-4EB4-A5FC-DBF032973AE0}"/>
    <hyperlink ref="E5" r:id="rId6" display="https://www.mouser.com/ProductDetail/Analog-Devices-Maxim-Integrated/DS1343D-3%2b?qs=BYAGKC2QcPwYgaVDdtk2xg%3D%3D" xr:uid="{565B4CE9-4046-4237-8D61-F18AABFAD9A8}"/>
    <hyperlink ref="E15" r:id="rId7" xr:uid="{AAA75135-5F8D-4045-9AE8-90EB91B6CEB0}"/>
    <hyperlink ref="E13" r:id="rId8" xr:uid="{8009DE98-BC40-4133-92C0-EA9A7D291575}"/>
    <hyperlink ref="E14" r:id="rId9" xr:uid="{149B2314-58D6-4D0A-BD7E-3B9D4D9B8EA0}"/>
    <hyperlink ref="E6" r:id="rId10" xr:uid="{FABA51E4-68B1-4A99-8E00-8C6D16E93ED0}"/>
    <hyperlink ref="E8" r:id="rId11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0C62E306-8BEC-406D-A8BD-60BF0009B037}"/>
    <hyperlink ref="E3" r:id="rId12" xr:uid="{9B77B201-0762-4E50-8A52-3F74E527BC5F}"/>
    <hyperlink ref="E7" r:id="rId13" xr:uid="{9882B737-54B6-44A3-88C6-C8B6C73E4E69}"/>
    <hyperlink ref="E12" r:id="rId14" xr:uid="{C0B9649C-1E88-409C-93A0-4DDF84CD2790}"/>
    <hyperlink ref="E16" r:id="rId15" xr:uid="{EEFE0CFA-F9DB-4377-BA42-27725DA8E5E0}"/>
    <hyperlink ref="D3" r:id="rId16" xr:uid="{A3D599D0-99E7-45A0-9177-70A592D90ABB}"/>
    <hyperlink ref="D4" r:id="rId17" xr:uid="{5EEE1CF4-8F60-4E4C-A4CB-C21CB0062C7B}"/>
    <hyperlink ref="D5" r:id="rId18" xr:uid="{3067D807-1C9A-4A68-B889-1735DB2F2542}"/>
    <hyperlink ref="D6" r:id="rId19" xr:uid="{5668BDC7-ED29-4CF5-B8F4-398D9B0D231E}"/>
    <hyperlink ref="D8" r:id="rId20" xr:uid="{CAE126E1-7D27-4445-9A83-7B9F3D61613B}"/>
    <hyperlink ref="D2" r:id="rId21" xr:uid="{1740DEDA-3797-4E1D-A548-C026724C2628}"/>
    <hyperlink ref="D9" r:id="rId22" xr:uid="{429CD792-78B7-4884-8098-79E97A0D2C33}"/>
    <hyperlink ref="E11" r:id="rId23" xr:uid="{983C6B59-9AB1-4F14-87E1-A29E266D498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4A6A-4EB5-47CC-BBC9-C8313FA58B1E}">
  <dimension ref="A1:G16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30.6640625" bestFit="1" customWidth="1"/>
    <col min="4" max="4" width="21.6640625" customWidth="1"/>
    <col min="5" max="5" width="19.5" customWidth="1"/>
    <col min="7" max="7" width="13.5" bestFit="1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20</v>
      </c>
      <c r="C4" t="s">
        <v>89</v>
      </c>
      <c r="D4" s="9" t="s">
        <v>90</v>
      </c>
      <c r="E4" s="4" t="s">
        <v>91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42</v>
      </c>
      <c r="B12" t="s">
        <v>43</v>
      </c>
      <c r="C12" s="3">
        <v>61301211121</v>
      </c>
      <c r="D12" s="3" t="s">
        <v>31</v>
      </c>
      <c r="E12" s="4" t="s">
        <v>44</v>
      </c>
      <c r="F12" t="s">
        <v>68</v>
      </c>
    </row>
    <row r="13" spans="1:7" x14ac:dyDescent="0.2">
      <c r="A13" t="s">
        <v>73</v>
      </c>
      <c r="B13" t="s">
        <v>56</v>
      </c>
      <c r="C13" s="5" t="s">
        <v>74</v>
      </c>
      <c r="D13" s="3" t="s">
        <v>31</v>
      </c>
      <c r="E13" s="4" t="s">
        <v>75</v>
      </c>
      <c r="F13" t="s">
        <v>68</v>
      </c>
    </row>
    <row r="14" spans="1:7" x14ac:dyDescent="0.2">
      <c r="A14" t="s">
        <v>81</v>
      </c>
      <c r="B14" t="s">
        <v>56</v>
      </c>
      <c r="C14" s="5" t="s">
        <v>82</v>
      </c>
      <c r="D14" s="3" t="s">
        <v>31</v>
      </c>
      <c r="E14" s="4" t="s">
        <v>83</v>
      </c>
      <c r="F14" t="s">
        <v>68</v>
      </c>
    </row>
    <row r="15" spans="1:7" x14ac:dyDescent="0.2">
      <c r="A15" t="s">
        <v>55</v>
      </c>
      <c r="B15" t="s">
        <v>56</v>
      </c>
      <c r="C15" s="5" t="s">
        <v>57</v>
      </c>
      <c r="D15" s="3" t="s">
        <v>31</v>
      </c>
      <c r="E15" s="4" t="s">
        <v>58</v>
      </c>
      <c r="F15" t="s">
        <v>68</v>
      </c>
    </row>
    <row r="16" spans="1:7" x14ac:dyDescent="0.2">
      <c r="A16" t="s">
        <v>85</v>
      </c>
      <c r="B16" t="s">
        <v>86</v>
      </c>
      <c r="C16" t="s">
        <v>87</v>
      </c>
      <c r="D16" s="3" t="s">
        <v>31</v>
      </c>
      <c r="E16" s="7" t="s">
        <v>88</v>
      </c>
      <c r="F16" t="s">
        <v>68</v>
      </c>
    </row>
  </sheetData>
  <hyperlinks>
    <hyperlink ref="E2" r:id="rId1" xr:uid="{DF8C0A9F-22CB-4F3A-89BB-B379145BDF03}"/>
    <hyperlink ref="E16" r:id="rId2" xr:uid="{01E572CC-60AC-4075-9AE7-5DE4AB413A88}"/>
    <hyperlink ref="E10" r:id="rId3" xr:uid="{6E65CD2E-450A-4EFE-BB92-3373E10FE8B8}"/>
    <hyperlink ref="E9" r:id="rId4" xr:uid="{7321E636-16B5-4D97-A0B9-EBCAADB10304}"/>
    <hyperlink ref="E4" r:id="rId5" xr:uid="{2C518983-BB83-4BBC-AA1A-4BB6B7B38CC2}"/>
    <hyperlink ref="E14" r:id="rId6" xr:uid="{843F064F-F77D-4CEE-B05F-CA64FC286BCA}"/>
    <hyperlink ref="E13" r:id="rId7" xr:uid="{21A3E010-5ABA-4ABC-8503-03DEAB6E2DAA}"/>
    <hyperlink ref="E6" r:id="rId8" xr:uid="{617E34C5-A536-4E06-8045-A5F19EE618D4}"/>
    <hyperlink ref="E8" r:id="rId9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98F24A45-B408-46E4-920C-B11154E58D29}"/>
    <hyperlink ref="E3" r:id="rId10" xr:uid="{5F295EEE-DF0A-4123-A210-EEEF6CFC38A9}"/>
    <hyperlink ref="E7" r:id="rId11" xr:uid="{747EB2F7-06D1-494F-8E9F-E75624BC02D2}"/>
    <hyperlink ref="E12" r:id="rId12" xr:uid="{E11847BE-B4B2-4BBB-A316-4C9179AB8C19}"/>
    <hyperlink ref="E15" r:id="rId13" xr:uid="{6F203F64-139D-402D-92DC-6C6763C1B3EA}"/>
    <hyperlink ref="D3" r:id="rId14" xr:uid="{BAD34354-9FAF-4B3D-AE7C-A7A6D1BB76FA}"/>
    <hyperlink ref="D4" r:id="rId15" xr:uid="{CE69A19C-B148-4D49-B1E9-23699F284525}"/>
    <hyperlink ref="D5" r:id="rId16" xr:uid="{15478E55-C745-42E0-8D2A-163F8C9FAF02}"/>
    <hyperlink ref="D6" r:id="rId17" xr:uid="{5B5E41A9-40F7-47BC-8A69-111A7C231C3D}"/>
    <hyperlink ref="D8" r:id="rId18" xr:uid="{E50E5879-CDF1-4DF2-B0FB-49EB886CE628}"/>
    <hyperlink ref="D2" r:id="rId19" xr:uid="{0D88B9F5-4EE2-434C-A90A-99631CE63ED1}"/>
    <hyperlink ref="D9" r:id="rId20" xr:uid="{7E0B0E80-703F-4C31-8D6B-7C1A21FB546A}"/>
    <hyperlink ref="E5" r:id="rId21" xr:uid="{2CA42972-04EA-474C-BFFE-2C71E5310D22}"/>
    <hyperlink ref="E11" r:id="rId22" xr:uid="{A4F89D26-8FC0-4059-B9CF-3CC065EF6D5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AAEF-A146-400A-99FA-6712F1F13B2D}">
  <dimension ref="A1:G17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30.6640625" bestFit="1" customWidth="1"/>
    <col min="4" max="4" width="20.1640625" customWidth="1"/>
    <col min="5" max="5" width="32.5" customWidth="1"/>
    <col min="7" max="7" width="13.5" bestFit="1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42</v>
      </c>
      <c r="B12" t="s">
        <v>43</v>
      </c>
      <c r="C12" s="3">
        <v>61301211121</v>
      </c>
      <c r="D12" s="3" t="s">
        <v>31</v>
      </c>
      <c r="E12" s="4" t="s">
        <v>44</v>
      </c>
      <c r="F12" t="s">
        <v>68</v>
      </c>
    </row>
    <row r="13" spans="1:7" x14ac:dyDescent="0.2">
      <c r="A13" t="s">
        <v>73</v>
      </c>
      <c r="B13" t="s">
        <v>56</v>
      </c>
      <c r="C13" s="5" t="s">
        <v>74</v>
      </c>
      <c r="D13" s="3" t="s">
        <v>31</v>
      </c>
      <c r="E13" s="4" t="s">
        <v>75</v>
      </c>
      <c r="F13" t="s">
        <v>68</v>
      </c>
    </row>
    <row r="14" spans="1:7" x14ac:dyDescent="0.2">
      <c r="A14" t="s">
        <v>77</v>
      </c>
      <c r="B14" t="s">
        <v>56</v>
      </c>
      <c r="C14" s="5" t="s">
        <v>78</v>
      </c>
      <c r="D14" s="3" t="s">
        <v>31</v>
      </c>
      <c r="E14" s="4" t="s">
        <v>79</v>
      </c>
      <c r="F14" t="s">
        <v>68</v>
      </c>
    </row>
    <row r="15" spans="1:7" x14ac:dyDescent="0.2">
      <c r="A15" t="s">
        <v>81</v>
      </c>
      <c r="B15" t="s">
        <v>56</v>
      </c>
      <c r="C15" s="5" t="s">
        <v>82</v>
      </c>
      <c r="D15" s="3" t="s">
        <v>31</v>
      </c>
      <c r="E15" s="4" t="s">
        <v>83</v>
      </c>
      <c r="F15" t="s">
        <v>68</v>
      </c>
    </row>
    <row r="16" spans="1:7" x14ac:dyDescent="0.2">
      <c r="A16" t="s">
        <v>55</v>
      </c>
      <c r="B16" t="s">
        <v>56</v>
      </c>
      <c r="C16" s="5" t="s">
        <v>57</v>
      </c>
      <c r="D16" s="3" t="s">
        <v>31</v>
      </c>
      <c r="E16" s="4" t="s">
        <v>58</v>
      </c>
      <c r="F16" t="s">
        <v>68</v>
      </c>
    </row>
    <row r="17" spans="1:6" x14ac:dyDescent="0.2">
      <c r="A17" t="s">
        <v>85</v>
      </c>
      <c r="B17" t="s">
        <v>86</v>
      </c>
      <c r="C17" t="s">
        <v>87</v>
      </c>
      <c r="D17" s="3" t="s">
        <v>31</v>
      </c>
      <c r="E17" s="7" t="s">
        <v>88</v>
      </c>
      <c r="F17" t="s">
        <v>68</v>
      </c>
    </row>
  </sheetData>
  <hyperlinks>
    <hyperlink ref="E2" r:id="rId1" xr:uid="{8DBC44DE-2C97-45DB-AA41-BE394A7795F5}"/>
    <hyperlink ref="E17" r:id="rId2" xr:uid="{87C36A86-4D45-4D08-850D-3049BE3B8215}"/>
    <hyperlink ref="E10" r:id="rId3" xr:uid="{A24EB8B2-4456-4804-A96E-B6C79B89A1DC}"/>
    <hyperlink ref="E9" r:id="rId4" xr:uid="{4135584A-D59E-4473-9B1A-77B4BF90C003}"/>
    <hyperlink ref="E4" r:id="rId5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A448B01C-746F-481F-A34B-4121772BFA23}"/>
    <hyperlink ref="E15" r:id="rId6" xr:uid="{B2BE7A38-5E05-444D-A7AC-2DB84D29832C}"/>
    <hyperlink ref="E13" r:id="rId7" xr:uid="{9F3E6EC5-3E6E-4081-A1AF-6FA7D6ED3C5F}"/>
    <hyperlink ref="E14" r:id="rId8" xr:uid="{3ED14D94-216A-4CB4-8811-32D12AF695EB}"/>
    <hyperlink ref="E6" r:id="rId9" xr:uid="{FE492349-F731-48E8-9391-F80F2CE3B64B}"/>
    <hyperlink ref="E8" r:id="rId10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70A436D2-E50B-4280-BFF0-DE12E668BFDB}"/>
    <hyperlink ref="E3" r:id="rId11" xr:uid="{9479CEC9-7BB1-472E-BED4-37DF05431F22}"/>
    <hyperlink ref="E7" r:id="rId12" xr:uid="{A1E2CDD4-3919-447F-83E3-F2BB6A8A4137}"/>
    <hyperlink ref="E12" r:id="rId13" xr:uid="{204C089C-EE97-46FF-BA63-CA891E2A0DC4}"/>
    <hyperlink ref="E16" r:id="rId14" xr:uid="{8F7ED752-75B6-4890-81E5-F38DC286BD81}"/>
    <hyperlink ref="D3" r:id="rId15" xr:uid="{5EA2F872-D881-4BAD-979F-C1DC74BAEC95}"/>
    <hyperlink ref="D4" r:id="rId16" xr:uid="{A594DB27-0BC3-47DB-8334-BAD9C62C538F}"/>
    <hyperlink ref="D6" r:id="rId17" xr:uid="{D4D208C1-7CEC-4306-A4F3-B5420E01228D}"/>
    <hyperlink ref="D8" r:id="rId18" xr:uid="{51A2FFC2-A7F3-46D2-8403-3A34BBA6213A}"/>
    <hyperlink ref="D2" r:id="rId19" xr:uid="{B509C948-829D-4730-8B1F-2D7845F78C69}"/>
    <hyperlink ref="D9" r:id="rId20" xr:uid="{36DCB796-E18D-4DFD-81E5-A7A264862B5A}"/>
    <hyperlink ref="E11" r:id="rId21" xr:uid="{2795D5B5-BC98-4CA8-81D0-369F171EC536}"/>
    <hyperlink ref="D5" r:id="rId22" xr:uid="{32AEB73B-1455-4167-8310-18EEE927E4E1}"/>
    <hyperlink ref="E5" r:id="rId23" xr:uid="{9C4283A8-8675-41E0-88E6-834636E9127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EDA0-EA9F-4349-8100-5B6672D54BB2}">
  <dimension ref="A1:G1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8.5" bestFit="1" customWidth="1"/>
    <col min="2" max="2" width="26.1640625" bestFit="1" customWidth="1"/>
    <col min="3" max="3" width="21.1640625" bestFit="1" customWidth="1"/>
    <col min="4" max="4" width="25.6640625" customWidth="1"/>
    <col min="5" max="5" width="28.1640625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20</v>
      </c>
      <c r="C4" t="s">
        <v>89</v>
      </c>
      <c r="D4" s="9" t="s">
        <v>90</v>
      </c>
      <c r="E4" s="4" t="s">
        <v>91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73</v>
      </c>
      <c r="B12" t="s">
        <v>56</v>
      </c>
      <c r="C12" s="5" t="s">
        <v>74</v>
      </c>
      <c r="D12" s="3" t="s">
        <v>31</v>
      </c>
      <c r="E12" s="4" t="s">
        <v>75</v>
      </c>
      <c r="F12" t="s">
        <v>68</v>
      </c>
    </row>
    <row r="13" spans="1:7" x14ac:dyDescent="0.2">
      <c r="A13" t="s">
        <v>81</v>
      </c>
      <c r="B13" t="s">
        <v>56</v>
      </c>
      <c r="C13" s="5" t="s">
        <v>82</v>
      </c>
      <c r="D13" s="3" t="s">
        <v>31</v>
      </c>
      <c r="E13" s="4" t="s">
        <v>83</v>
      </c>
      <c r="F13" t="s">
        <v>68</v>
      </c>
    </row>
    <row r="14" spans="1:7" x14ac:dyDescent="0.2">
      <c r="A14" t="s">
        <v>55</v>
      </c>
      <c r="B14" t="s">
        <v>56</v>
      </c>
      <c r="C14" s="5" t="s">
        <v>57</v>
      </c>
      <c r="D14" s="3" t="s">
        <v>31</v>
      </c>
      <c r="E14" s="4" t="s">
        <v>58</v>
      </c>
      <c r="F14" t="s">
        <v>68</v>
      </c>
    </row>
    <row r="15" spans="1:7" x14ac:dyDescent="0.2">
      <c r="A15" t="s">
        <v>85</v>
      </c>
      <c r="B15" t="s">
        <v>86</v>
      </c>
      <c r="C15" t="s">
        <v>87</v>
      </c>
      <c r="D15" s="3" t="s">
        <v>31</v>
      </c>
      <c r="E15" s="7" t="s">
        <v>88</v>
      </c>
      <c r="F15" t="s">
        <v>68</v>
      </c>
    </row>
  </sheetData>
  <hyperlinks>
    <hyperlink ref="E2" r:id="rId1" xr:uid="{38CD0B84-B07F-44EB-8E01-9F6252F9F727}"/>
    <hyperlink ref="E15" r:id="rId2" xr:uid="{A7390F58-2116-4624-BC8F-1B5127831DEC}"/>
    <hyperlink ref="E10" r:id="rId3" xr:uid="{C7D60094-94F1-4AA5-B7F7-52E5A06E0A98}"/>
    <hyperlink ref="E9" r:id="rId4" xr:uid="{8B1C590E-8B1C-4F07-A057-6AA8CBCC2506}"/>
    <hyperlink ref="E4" r:id="rId5" xr:uid="{56314647-E8D0-41C0-97FA-CBF8EAF69F46}"/>
    <hyperlink ref="E13" r:id="rId6" xr:uid="{025080F9-3556-432A-ABAF-2AD8F4D6E9BA}"/>
    <hyperlink ref="E12" r:id="rId7" xr:uid="{C1290A8D-E51B-425B-96B4-9D3D2988FD68}"/>
    <hyperlink ref="E6" r:id="rId8" xr:uid="{9EEBEE72-03D4-4F40-B445-32A848178837}"/>
    <hyperlink ref="E8" r:id="rId9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3C6E095B-1DBF-41E1-86AD-38569E5B9D4E}"/>
    <hyperlink ref="E3" r:id="rId10" xr:uid="{3CF6725B-85E5-45A8-AC26-AA97F3D97224}"/>
    <hyperlink ref="E7" r:id="rId11" xr:uid="{BE10B989-F4FC-42FA-A462-AEE574E50FBF}"/>
    <hyperlink ref="E14" r:id="rId12" xr:uid="{E38E958B-CB8B-4850-BB0A-15198243D81F}"/>
    <hyperlink ref="D3" r:id="rId13" xr:uid="{8A38B34C-6255-4E60-AB27-A66EA46DD2A6}"/>
    <hyperlink ref="D4" r:id="rId14" xr:uid="{61A84DD1-8CD6-4561-A612-4852A38386D3}"/>
    <hyperlink ref="D5" r:id="rId15" xr:uid="{695AD504-5B5D-4C81-AEC2-3C44F0462E6A}"/>
    <hyperlink ref="D6" r:id="rId16" xr:uid="{E69BD2BE-5204-4E0C-87A2-D5B4457011AD}"/>
    <hyperlink ref="D8" r:id="rId17" xr:uid="{23BA5990-10DC-4F0D-9C36-5F1A81A8725C}"/>
    <hyperlink ref="D2" r:id="rId18" xr:uid="{9C8D7C6B-127E-424D-AD12-CF57AC103C6F}"/>
    <hyperlink ref="D9" r:id="rId19" xr:uid="{AE97827D-3691-4CCB-9061-1427F276B347}"/>
    <hyperlink ref="E5" r:id="rId20" xr:uid="{6ADB2607-471B-435F-BA0D-7A7BDCD4A431}"/>
    <hyperlink ref="E11" r:id="rId21" xr:uid="{97B44F7F-A906-4797-AD83-D87141C7C27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67F0-F472-4618-8528-C22270E93F2A}">
  <dimension ref="A1:G16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21.1640625" bestFit="1" customWidth="1"/>
    <col min="4" max="4" width="16.33203125" customWidth="1"/>
    <col min="5" max="5" width="21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73</v>
      </c>
      <c r="B12" t="s">
        <v>56</v>
      </c>
      <c r="C12" s="5" t="s">
        <v>74</v>
      </c>
      <c r="D12" s="3" t="s">
        <v>31</v>
      </c>
      <c r="E12" s="4" t="s">
        <v>75</v>
      </c>
      <c r="F12" t="s">
        <v>68</v>
      </c>
    </row>
    <row r="13" spans="1:7" x14ac:dyDescent="0.2">
      <c r="A13" t="s">
        <v>77</v>
      </c>
      <c r="B13" t="s">
        <v>56</v>
      </c>
      <c r="C13" s="5" t="s">
        <v>78</v>
      </c>
      <c r="D13" s="3" t="s">
        <v>31</v>
      </c>
      <c r="E13" s="4" t="s">
        <v>79</v>
      </c>
      <c r="F13" t="s">
        <v>68</v>
      </c>
    </row>
    <row r="14" spans="1:7" x14ac:dyDescent="0.2">
      <c r="A14" t="s">
        <v>81</v>
      </c>
      <c r="B14" t="s">
        <v>56</v>
      </c>
      <c r="C14" s="5" t="s">
        <v>82</v>
      </c>
      <c r="D14" s="3" t="s">
        <v>31</v>
      </c>
      <c r="E14" s="4" t="s">
        <v>83</v>
      </c>
      <c r="F14" t="s">
        <v>68</v>
      </c>
    </row>
    <row r="15" spans="1:7" x14ac:dyDescent="0.2">
      <c r="A15" t="s">
        <v>55</v>
      </c>
      <c r="B15" t="s">
        <v>56</v>
      </c>
      <c r="C15" s="5" t="s">
        <v>57</v>
      </c>
      <c r="D15" s="3" t="s">
        <v>31</v>
      </c>
      <c r="E15" s="4" t="s">
        <v>58</v>
      </c>
      <c r="F15" t="s">
        <v>68</v>
      </c>
    </row>
    <row r="16" spans="1:7" x14ac:dyDescent="0.2">
      <c r="A16" t="s">
        <v>85</v>
      </c>
      <c r="B16" t="s">
        <v>86</v>
      </c>
      <c r="C16" t="s">
        <v>87</v>
      </c>
      <c r="D16" s="3" t="s">
        <v>31</v>
      </c>
      <c r="E16" s="7" t="s">
        <v>88</v>
      </c>
      <c r="F16" t="s">
        <v>68</v>
      </c>
    </row>
  </sheetData>
  <hyperlinks>
    <hyperlink ref="E2" r:id="rId1" xr:uid="{4278C9A1-DA08-46A5-8A6A-69709ADB5A81}"/>
    <hyperlink ref="E16" r:id="rId2" xr:uid="{8CED4A02-B433-438B-8675-33B901E5983B}"/>
    <hyperlink ref="E10" r:id="rId3" xr:uid="{6E42FE69-0043-480B-8287-F2A13228661D}"/>
    <hyperlink ref="E9" r:id="rId4" xr:uid="{7DBD8673-7435-40B7-9AA9-3240610D0218}"/>
    <hyperlink ref="E4" r:id="rId5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E0A562D7-918F-4858-984F-39B2A2F2F783}"/>
    <hyperlink ref="E14" r:id="rId6" xr:uid="{9B21AAC3-F4E8-4A4D-A2D1-FFEA8D0672A4}"/>
    <hyperlink ref="E12" r:id="rId7" xr:uid="{B72E312E-1806-40C4-8ADF-30A5AA39FD6E}"/>
    <hyperlink ref="E13" r:id="rId8" xr:uid="{B809A9C0-FB74-46FC-9BFC-04ACED36595B}"/>
    <hyperlink ref="E6" r:id="rId9" xr:uid="{163D7CE1-8CBB-4A74-B26A-D3C33BB0F8F8}"/>
    <hyperlink ref="E8" r:id="rId10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E11A19C2-7806-46D5-8A00-28A4B06D1E41}"/>
    <hyperlink ref="E3" r:id="rId11" xr:uid="{F790845C-FED1-40C5-B258-A37932A0476D}"/>
    <hyperlink ref="E7" r:id="rId12" xr:uid="{A7A8BCD2-897D-45D8-81E1-8EAB39B56F90}"/>
    <hyperlink ref="E15" r:id="rId13" xr:uid="{1A661BC0-8678-488C-A5E6-2180B4B81635}"/>
    <hyperlink ref="D3" r:id="rId14" xr:uid="{ACA54E8B-5E12-402A-8899-C3E1E31D5E58}"/>
    <hyperlink ref="D4" r:id="rId15" xr:uid="{5C82E1E2-E347-47E8-9D8E-1D656631E61F}"/>
    <hyperlink ref="D6" r:id="rId16" xr:uid="{83BF88FD-EA1F-4C03-832C-51A58B5CF919}"/>
    <hyperlink ref="D8" r:id="rId17" xr:uid="{2D219C34-964F-4901-8DFE-EB74F1181555}"/>
    <hyperlink ref="D2" r:id="rId18" xr:uid="{D6D98A1C-37F7-483B-9FFE-F0DAD6057D54}"/>
    <hyperlink ref="D9" r:id="rId19" xr:uid="{A6A0C79B-1D6D-4B64-89FC-B23A5D678C1E}"/>
    <hyperlink ref="E11" r:id="rId20" xr:uid="{2F317298-9A45-4A59-924A-D93902AB24E0}"/>
    <hyperlink ref="D5" r:id="rId21" xr:uid="{C79CB4EC-2818-4D2D-8C08-E0AE4AC2401E}"/>
    <hyperlink ref="E5" r:id="rId22" xr:uid="{377FD4A3-2AB1-460B-8916-010124E9CF0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3E0B-84C2-874E-A805-F8397A851F43}">
  <dimension ref="A1:M22"/>
  <sheetViews>
    <sheetView topLeftCell="B1" zoomScale="125" zoomScaleNormal="125" workbookViewId="0">
      <selection activeCell="I13" sqref="I13"/>
    </sheetView>
  </sheetViews>
  <sheetFormatPr baseColWidth="10" defaultColWidth="11.5" defaultRowHeight="15" x14ac:dyDescent="0.2"/>
  <cols>
    <col min="1" max="1" width="9.83203125" bestFit="1" customWidth="1"/>
    <col min="2" max="2" width="24.83203125" bestFit="1" customWidth="1"/>
    <col min="3" max="3" width="22.5" customWidth="1"/>
    <col min="4" max="4" width="15.83203125" bestFit="1" customWidth="1"/>
    <col min="5" max="5" width="12.1640625" bestFit="1" customWidth="1"/>
    <col min="6" max="6" width="8.1640625" bestFit="1" customWidth="1"/>
    <col min="7" max="7" width="8.6640625" bestFit="1" customWidth="1"/>
    <col min="8" max="8" width="42.5" customWidth="1"/>
    <col min="9" max="9" width="51.83203125" customWidth="1"/>
    <col min="10" max="10" width="29.1640625" customWidth="1"/>
  </cols>
  <sheetData>
    <row r="1" spans="1:13" s="1" customFormat="1" x14ac:dyDescent="0.2">
      <c r="A1" s="1" t="s">
        <v>116</v>
      </c>
      <c r="B1" s="1" t="s">
        <v>117</v>
      </c>
      <c r="C1" s="1" t="s">
        <v>122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123</v>
      </c>
      <c r="I1" s="1" t="s">
        <v>152</v>
      </c>
      <c r="J1" s="1" t="s">
        <v>124</v>
      </c>
      <c r="K1" s="1" t="s">
        <v>149</v>
      </c>
      <c r="L1" s="1" t="s">
        <v>158</v>
      </c>
    </row>
    <row r="2" spans="1:13" x14ac:dyDescent="0.2">
      <c r="A2" t="s">
        <v>137</v>
      </c>
      <c r="B2" s="3" t="s">
        <v>63</v>
      </c>
      <c r="C2" s="17" t="s">
        <v>65</v>
      </c>
      <c r="D2">
        <v>1</v>
      </c>
      <c r="E2" s="13">
        <v>3</v>
      </c>
      <c r="F2" s="14">
        <v>4.16</v>
      </c>
      <c r="G2" s="14">
        <f>E2*F2</f>
        <v>12.48</v>
      </c>
      <c r="I2" s="9" t="s">
        <v>67</v>
      </c>
      <c r="J2" t="s">
        <v>106</v>
      </c>
      <c r="K2" t="s">
        <v>106</v>
      </c>
    </row>
    <row r="3" spans="1:13" x14ac:dyDescent="0.2">
      <c r="A3" t="s">
        <v>138</v>
      </c>
      <c r="B3" s="3" t="s">
        <v>10</v>
      </c>
      <c r="C3" s="3" t="s">
        <v>104</v>
      </c>
      <c r="D3">
        <v>1</v>
      </c>
      <c r="E3" s="13">
        <v>3</v>
      </c>
      <c r="F3" s="15">
        <v>0.57999999999999996</v>
      </c>
      <c r="G3" s="15">
        <f>E3*F3</f>
        <v>1.7399999999999998</v>
      </c>
      <c r="I3" s="9" t="s">
        <v>14</v>
      </c>
      <c r="J3" t="s">
        <v>106</v>
      </c>
      <c r="K3" t="s">
        <v>106</v>
      </c>
    </row>
    <row r="4" spans="1:13" x14ac:dyDescent="0.2">
      <c r="A4" t="s">
        <v>139</v>
      </c>
      <c r="B4" s="3" t="s">
        <v>15</v>
      </c>
      <c r="C4" s="3" t="s">
        <v>89</v>
      </c>
      <c r="D4">
        <v>1</v>
      </c>
      <c r="E4" s="13">
        <v>3</v>
      </c>
      <c r="F4" s="14">
        <v>7.01</v>
      </c>
      <c r="G4" s="14">
        <f t="shared" ref="G4:G20" si="0">E4*F4</f>
        <v>21.03</v>
      </c>
      <c r="I4" s="9" t="s">
        <v>91</v>
      </c>
      <c r="J4" s="8" t="s">
        <v>159</v>
      </c>
      <c r="K4" s="8" t="s">
        <v>148</v>
      </c>
      <c r="L4" s="8" t="s">
        <v>157</v>
      </c>
      <c r="M4" s="8" t="s">
        <v>106</v>
      </c>
    </row>
    <row r="5" spans="1:13" x14ac:dyDescent="0.2">
      <c r="A5" t="s">
        <v>140</v>
      </c>
      <c r="B5" s="3" t="s">
        <v>19</v>
      </c>
      <c r="C5" s="3" t="s">
        <v>93</v>
      </c>
      <c r="D5">
        <v>1</v>
      </c>
      <c r="E5" s="13">
        <v>3</v>
      </c>
      <c r="F5" s="15">
        <v>0.75770000000000004</v>
      </c>
      <c r="G5" s="15">
        <f t="shared" si="0"/>
        <v>2.2731000000000003</v>
      </c>
      <c r="H5" t="s">
        <v>156</v>
      </c>
      <c r="I5" s="9" t="s">
        <v>111</v>
      </c>
      <c r="J5" s="8" t="s">
        <v>126</v>
      </c>
      <c r="K5" s="8" t="s">
        <v>150</v>
      </c>
      <c r="L5" s="8" t="s">
        <v>154</v>
      </c>
      <c r="M5" t="s">
        <v>106</v>
      </c>
    </row>
    <row r="6" spans="1:13" x14ac:dyDescent="0.2">
      <c r="A6" t="s">
        <v>141</v>
      </c>
      <c r="B6" s="3" t="s">
        <v>24</v>
      </c>
      <c r="C6" s="3" t="s">
        <v>127</v>
      </c>
      <c r="D6">
        <v>1</v>
      </c>
      <c r="E6" s="13">
        <v>3</v>
      </c>
      <c r="F6" s="15">
        <v>1.28</v>
      </c>
      <c r="G6" s="14">
        <f t="shared" si="0"/>
        <v>3.84</v>
      </c>
      <c r="I6" s="9" t="s">
        <v>112</v>
      </c>
      <c r="J6" t="s">
        <v>106</v>
      </c>
      <c r="K6" t="s">
        <v>106</v>
      </c>
    </row>
    <row r="7" spans="1:13" x14ac:dyDescent="0.2">
      <c r="A7" t="s">
        <v>145</v>
      </c>
      <c r="B7" s="11" t="s">
        <v>105</v>
      </c>
      <c r="C7" s="3">
        <v>9749</v>
      </c>
      <c r="D7">
        <v>1</v>
      </c>
      <c r="E7" s="13">
        <v>5</v>
      </c>
      <c r="F7" s="14">
        <v>0.11</v>
      </c>
      <c r="G7" s="15">
        <f t="shared" si="0"/>
        <v>0.55000000000000004</v>
      </c>
      <c r="I7" s="9" t="s">
        <v>155</v>
      </c>
      <c r="J7" s="8" t="s">
        <v>106</v>
      </c>
      <c r="K7" s="16" t="s">
        <v>106</v>
      </c>
    </row>
    <row r="8" spans="1:13" x14ac:dyDescent="0.2">
      <c r="A8" t="s">
        <v>146</v>
      </c>
      <c r="B8" s="3" t="s">
        <v>128</v>
      </c>
      <c r="C8" s="3" t="s">
        <v>110</v>
      </c>
      <c r="D8">
        <v>1</v>
      </c>
      <c r="E8" s="13">
        <v>5</v>
      </c>
      <c r="F8" s="14">
        <v>1.06</v>
      </c>
      <c r="G8" s="14">
        <f t="shared" si="0"/>
        <v>5.3000000000000007</v>
      </c>
      <c r="I8" s="9" t="s">
        <v>109</v>
      </c>
      <c r="J8" t="s">
        <v>106</v>
      </c>
      <c r="K8" s="16" t="s">
        <v>106</v>
      </c>
    </row>
    <row r="9" spans="1:13" x14ac:dyDescent="0.2">
      <c r="A9" t="s">
        <v>142</v>
      </c>
      <c r="B9" s="3" t="s">
        <v>29</v>
      </c>
      <c r="C9" s="3">
        <v>3000</v>
      </c>
      <c r="D9">
        <v>1</v>
      </c>
      <c r="E9" s="13">
        <v>3</v>
      </c>
      <c r="F9" s="14">
        <v>0.4</v>
      </c>
      <c r="G9" s="15">
        <f t="shared" si="0"/>
        <v>1.2000000000000002</v>
      </c>
      <c r="I9" s="9" t="s">
        <v>113</v>
      </c>
      <c r="J9" t="s">
        <v>106</v>
      </c>
      <c r="K9" s="16" t="s">
        <v>106</v>
      </c>
    </row>
    <row r="10" spans="1:13" x14ac:dyDescent="0.2">
      <c r="A10" t="s">
        <v>143</v>
      </c>
      <c r="B10" s="3" t="s">
        <v>33</v>
      </c>
      <c r="C10" s="3">
        <v>11574</v>
      </c>
      <c r="D10">
        <v>1</v>
      </c>
      <c r="E10" s="13">
        <v>2</v>
      </c>
      <c r="F10" s="14">
        <v>31.88</v>
      </c>
      <c r="G10" s="14">
        <f t="shared" si="0"/>
        <v>63.76</v>
      </c>
      <c r="I10" s="9" t="s">
        <v>36</v>
      </c>
      <c r="J10" t="s">
        <v>106</v>
      </c>
      <c r="K10" s="16" t="s">
        <v>106</v>
      </c>
    </row>
    <row r="11" spans="1:13" x14ac:dyDescent="0.2">
      <c r="A11" t="s">
        <v>147</v>
      </c>
      <c r="B11" s="3" t="s">
        <v>37</v>
      </c>
      <c r="C11" s="3">
        <v>1660</v>
      </c>
      <c r="D11">
        <v>1</v>
      </c>
      <c r="E11" s="13">
        <v>3</v>
      </c>
      <c r="F11" s="14">
        <v>1.95</v>
      </c>
      <c r="G11" s="15">
        <f t="shared" si="0"/>
        <v>5.85</v>
      </c>
      <c r="I11" s="9" t="s">
        <v>114</v>
      </c>
      <c r="J11" s="8" t="s">
        <v>153</v>
      </c>
      <c r="K11" s="8" t="s">
        <v>106</v>
      </c>
      <c r="L11" t="s">
        <v>106</v>
      </c>
    </row>
    <row r="12" spans="1:13" x14ac:dyDescent="0.2">
      <c r="A12" t="s">
        <v>146</v>
      </c>
      <c r="B12" s="3" t="s">
        <v>40</v>
      </c>
      <c r="C12" s="3">
        <v>3814</v>
      </c>
      <c r="D12">
        <v>1</v>
      </c>
      <c r="E12" s="13">
        <v>0</v>
      </c>
      <c r="F12" s="14">
        <v>0.75</v>
      </c>
      <c r="G12" s="14">
        <f t="shared" si="0"/>
        <v>0</v>
      </c>
      <c r="I12" s="9" t="s">
        <v>41</v>
      </c>
      <c r="J12" t="s">
        <v>106</v>
      </c>
      <c r="K12" s="16" t="s">
        <v>106</v>
      </c>
    </row>
    <row r="13" spans="1:13" x14ac:dyDescent="0.2">
      <c r="A13" t="s">
        <v>144</v>
      </c>
      <c r="B13" s="3" t="s">
        <v>70</v>
      </c>
      <c r="C13" s="3">
        <v>1050170001</v>
      </c>
      <c r="D13">
        <v>1</v>
      </c>
      <c r="E13" s="13">
        <v>3</v>
      </c>
      <c r="F13" s="14">
        <v>0.92</v>
      </c>
      <c r="G13" s="15">
        <f t="shared" si="0"/>
        <v>2.7600000000000002</v>
      </c>
      <c r="I13" s="9" t="s">
        <v>115</v>
      </c>
      <c r="J13" t="s">
        <v>106</v>
      </c>
      <c r="K13" s="16" t="s">
        <v>106</v>
      </c>
    </row>
    <row r="14" spans="1:13" x14ac:dyDescent="0.2">
      <c r="A14" t="s">
        <v>131</v>
      </c>
      <c r="B14" s="3" t="s">
        <v>125</v>
      </c>
      <c r="C14" s="3" t="s">
        <v>74</v>
      </c>
      <c r="D14">
        <v>3</v>
      </c>
      <c r="E14" s="13">
        <v>10</v>
      </c>
      <c r="F14" s="14">
        <v>2.1000000000000001E-2</v>
      </c>
      <c r="G14" s="14">
        <f t="shared" si="0"/>
        <v>0.21000000000000002</v>
      </c>
      <c r="I14" s="9" t="s">
        <v>75</v>
      </c>
      <c r="J14" t="s">
        <v>106</v>
      </c>
      <c r="K14" s="16" t="s">
        <v>106</v>
      </c>
    </row>
    <row r="15" spans="1:13" x14ac:dyDescent="0.2">
      <c r="A15" t="s">
        <v>132</v>
      </c>
      <c r="B15" s="3" t="s">
        <v>81</v>
      </c>
      <c r="C15" s="3" t="s">
        <v>82</v>
      </c>
      <c r="D15">
        <v>1</v>
      </c>
      <c r="E15" s="13">
        <v>10</v>
      </c>
      <c r="F15" s="14">
        <v>0.03</v>
      </c>
      <c r="G15" s="15">
        <f t="shared" si="0"/>
        <v>0.3</v>
      </c>
      <c r="I15" s="9" t="s">
        <v>83</v>
      </c>
      <c r="J15" t="s">
        <v>106</v>
      </c>
    </row>
    <row r="16" spans="1:13" x14ac:dyDescent="0.2">
      <c r="A16" t="s">
        <v>133</v>
      </c>
      <c r="B16" s="3" t="s">
        <v>55</v>
      </c>
      <c r="C16" s="3" t="s">
        <v>57</v>
      </c>
      <c r="D16">
        <v>3</v>
      </c>
      <c r="E16" s="13">
        <v>10</v>
      </c>
      <c r="F16" s="14">
        <v>3.6999999999999998E-2</v>
      </c>
      <c r="G16" s="14">
        <f t="shared" si="0"/>
        <v>0.37</v>
      </c>
      <c r="I16" s="9" t="s">
        <v>58</v>
      </c>
      <c r="J16" t="s">
        <v>106</v>
      </c>
      <c r="K16" s="16" t="s">
        <v>106</v>
      </c>
    </row>
    <row r="17" spans="1:11" x14ac:dyDescent="0.2">
      <c r="A17" t="s">
        <v>134</v>
      </c>
      <c r="B17" s="3" t="s">
        <v>85</v>
      </c>
      <c r="C17" s="3" t="s">
        <v>129</v>
      </c>
      <c r="D17">
        <v>2</v>
      </c>
      <c r="E17" s="13">
        <v>10</v>
      </c>
      <c r="F17" s="14">
        <v>7.1999999999999995E-2</v>
      </c>
      <c r="G17" s="15">
        <f t="shared" si="0"/>
        <v>0.72</v>
      </c>
      <c r="I17" s="9" t="s">
        <v>88</v>
      </c>
      <c r="J17" t="s">
        <v>106</v>
      </c>
      <c r="K17" s="16" t="s">
        <v>106</v>
      </c>
    </row>
    <row r="18" spans="1:11" x14ac:dyDescent="0.2">
      <c r="A18" t="s">
        <v>135</v>
      </c>
      <c r="B18" s="3" t="s">
        <v>98</v>
      </c>
      <c r="C18" s="3" t="s">
        <v>99</v>
      </c>
      <c r="D18">
        <v>1</v>
      </c>
      <c r="E18" s="13">
        <v>10</v>
      </c>
      <c r="F18" s="14">
        <v>0.28499999999999998</v>
      </c>
      <c r="G18" s="14">
        <f t="shared" si="0"/>
        <v>2.8499999999999996</v>
      </c>
      <c r="I18" s="9" t="s">
        <v>100</v>
      </c>
      <c r="J18" t="s">
        <v>106</v>
      </c>
      <c r="K18" s="16" t="s">
        <v>106</v>
      </c>
    </row>
    <row r="19" spans="1:11" x14ac:dyDescent="0.2">
      <c r="A19" t="s">
        <v>136</v>
      </c>
      <c r="B19" s="3" t="s">
        <v>101</v>
      </c>
      <c r="C19" s="3" t="s">
        <v>102</v>
      </c>
      <c r="D19">
        <v>2</v>
      </c>
      <c r="E19" s="13">
        <v>10</v>
      </c>
      <c r="F19" s="14">
        <v>3.4000000000000002E-2</v>
      </c>
      <c r="G19" s="15">
        <f t="shared" si="0"/>
        <v>0.34</v>
      </c>
      <c r="I19" s="9" t="s">
        <v>103</v>
      </c>
      <c r="J19" t="s">
        <v>106</v>
      </c>
      <c r="K19" s="16" t="s">
        <v>106</v>
      </c>
    </row>
    <row r="20" spans="1:11" x14ac:dyDescent="0.2">
      <c r="A20" t="s">
        <v>136</v>
      </c>
      <c r="B20" s="3" t="s">
        <v>107</v>
      </c>
      <c r="C20" s="3" t="s">
        <v>130</v>
      </c>
      <c r="D20">
        <v>2</v>
      </c>
      <c r="E20" s="12">
        <v>10</v>
      </c>
      <c r="F20" s="14">
        <v>2.5000000000000001E-2</v>
      </c>
      <c r="G20" s="14">
        <f t="shared" si="0"/>
        <v>0.25</v>
      </c>
      <c r="I20" s="9" t="s">
        <v>108</v>
      </c>
      <c r="J20" t="s">
        <v>106</v>
      </c>
      <c r="K20" s="16" t="s">
        <v>106</v>
      </c>
    </row>
    <row r="21" spans="1:11" x14ac:dyDescent="0.2">
      <c r="F21" t="s">
        <v>151</v>
      </c>
      <c r="G21" s="14">
        <f>SUM(G2:G20)</f>
        <v>125.8231</v>
      </c>
      <c r="K21" s="16" t="s">
        <v>106</v>
      </c>
    </row>
    <row r="22" spans="1:11" x14ac:dyDescent="0.2">
      <c r="K22" s="16" t="s">
        <v>106</v>
      </c>
    </row>
  </sheetData>
  <hyperlinks>
    <hyperlink ref="I2" r:id="rId1" xr:uid="{784743AC-1CA9-2E4A-B45E-71C10508EDE0}"/>
    <hyperlink ref="I17" r:id="rId2" xr:uid="{151EA8BB-FCA8-4242-89E5-22A6BAA0DF4A}"/>
    <hyperlink ref="I4" r:id="rId3" xr:uid="{2FAD39F5-B682-8846-97F2-096DB73A8DB6}"/>
    <hyperlink ref="I15" r:id="rId4" xr:uid="{D3EC366E-078B-CC4B-81D0-A5AF54E25A6F}"/>
    <hyperlink ref="I14" r:id="rId5" xr:uid="{9FA52737-046B-F94E-BD9A-848A25C977F8}"/>
    <hyperlink ref="I10" r:id="rId6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0055941C-0675-8D46-9C92-81B8DB6E2429}"/>
    <hyperlink ref="I3" r:id="rId7" xr:uid="{E36B3917-034D-4546-AC9A-28C3CFF43C58}"/>
    <hyperlink ref="I16" r:id="rId8" xr:uid="{D717E9B0-7B3E-914B-A144-1A9E7938A3E3}"/>
    <hyperlink ref="I19" r:id="rId9" xr:uid="{1BFBF5F8-A755-C040-B919-854624B1561B}"/>
    <hyperlink ref="I18" r:id="rId10" xr:uid="{E795A01A-E799-B04D-A5E2-5F82BC618D8D}"/>
    <hyperlink ref="I20" r:id="rId11" xr:uid="{D54F72EC-6324-934D-86F6-CAC1B1BEB84D}"/>
    <hyperlink ref="I8" r:id="rId12" xr:uid="{50120389-F8DF-DF40-9233-9A6B37C405C5}"/>
    <hyperlink ref="I13" r:id="rId13" xr:uid="{27B8C719-388A-7745-9A17-B4D105976BCB}"/>
    <hyperlink ref="J5" r:id="rId14" display="https://www.rocelec.com/part/01t4w00000PPv4UAAT-PCF8523T1118?utm_term=&amp;utm_campaign=USA+-+PMAX&amp;utm_source=adwords&amp;utm_medium=ppc&amp;hsa_net=adwords&amp;hsa_tgt=&amp;hsa_ad=&amp;hsa_acc=2274246953&amp;hsa_grp=&amp;hsa_mt=&amp;hsa_cam=19547754453&amp;hsa_kw=&amp;hsa_ver=3&amp;hsa_src=x&amp;gad_source=4&amp;gad_campaignid=19547755830&amp;gbraid=0AAAAADfiOy4l2s7LtXtyp4aJxaq1bq5_A&amp;gclid=CjwKCAjw8arQBhB9EiwAfIKdQq3H62HP9EGlikIHKTUOl6LLbTMsnXpAQsdRDmIj-SLJR3Y_Lyf35xoCwh4QAvD_BwE " xr:uid="{03C51AB2-4B6A-C441-92C2-B793CBDB24A0}"/>
    <hyperlink ref="I6" r:id="rId15" xr:uid="{1F0504D9-999B-604A-BC8C-1DD58F2649EA}"/>
    <hyperlink ref="I9" r:id="rId16" xr:uid="{9ADD7A19-15AF-004C-80C5-0F4C51699992}"/>
    <hyperlink ref="I11" r:id="rId17" xr:uid="{403F295A-2B42-DE4C-8F52-FE0B71B85BF1}"/>
    <hyperlink ref="K4" r:id="rId18" xr:uid="{E5D7CB6C-2662-8944-9DA9-6127238A42E8}"/>
    <hyperlink ref="K5" r:id="rId19" xr:uid="{046EA6BE-48C4-3B41-8036-684000CFDB4D}"/>
    <hyperlink ref="I5" r:id="rId20" xr:uid="{B4A5999F-110E-5F4B-8D7D-E9F98C55BC7F}"/>
    <hyperlink ref="L5" r:id="rId21" xr:uid="{10AA818C-D46B-2E4F-9DF0-1368C0673C54}"/>
    <hyperlink ref="J11" r:id="rId22" xr:uid="{A2FE312B-B17E-6E40-B50F-03184E20CC67}"/>
    <hyperlink ref="I12" r:id="rId23" xr:uid="{E869A8A3-1E39-324F-B9EB-AEB400CA1C48}"/>
    <hyperlink ref="I7" r:id="rId24" display="https://www.digikey.com/en/products/detail/jst-sales-america-inc/S2B-PH-K-S/926626?gclsrc=aw.ds&amp;gad_source=1&amp;gad_campaignid=20470400566&amp;gbraid=0AAAAADrbLlg8DtxjqiUDwety2k6cAQ0XJ&amp;gclid=Cj0KCQjwlLDQBhDjARIsAPlIefHomTfTUoZ7D0P94S5mAVF3io454K95fTm66EAoDjt__qy-ohuCJpkaAg9wEALw_wcB" xr:uid="{58E6B9D1-8FD5-4BD0-9D16-E895003F13EA}"/>
    <hyperlink ref="L4" r:id="rId25" xr:uid="{508B8156-9D2F-6249-BB5C-D0A959FBE006}"/>
    <hyperlink ref="M4" r:id="rId26" display="https://www.zaikostore.com/zaikostore/en/stockList?stockSearchNew=1&amp;headerSearch=1&amp;productName_forFind=ADXL326BCPZ-RL7&amp;typeStock_forFind=all&amp;viewCount=50&amp;pageNumber=1 " xr:uid="{D33CF85D-01E0-D843-A4B2-A14D38CB6E0C}"/>
    <hyperlink ref="J4" r:id="rId27" xr:uid="{CE5A7F74-3DE2-F143-BF0D-FFE8B674DC5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6C97-981B-954B-AAC2-0255786EEB41}">
  <dimension ref="A1:H8"/>
  <sheetViews>
    <sheetView tabSelected="1" zoomScale="125" zoomScaleNormal="125" workbookViewId="0">
      <selection activeCell="H20" sqref="H20"/>
    </sheetView>
  </sheetViews>
  <sheetFormatPr baseColWidth="10" defaultRowHeight="15" x14ac:dyDescent="0.2"/>
  <cols>
    <col min="1" max="1" width="9.6640625" bestFit="1" customWidth="1"/>
    <col min="2" max="2" width="20.5" bestFit="1" customWidth="1"/>
    <col min="3" max="3" width="18" bestFit="1" customWidth="1"/>
    <col min="4" max="4" width="8" bestFit="1" customWidth="1"/>
    <col min="5" max="5" width="8.1640625" bestFit="1" customWidth="1"/>
    <col min="6" max="7" width="8.33203125" bestFit="1" customWidth="1"/>
  </cols>
  <sheetData>
    <row r="1" spans="1:8" s="1" customFormat="1" x14ac:dyDescent="0.2">
      <c r="A1" s="1" t="s">
        <v>116</v>
      </c>
      <c r="B1" s="1" t="s">
        <v>117</v>
      </c>
      <c r="C1" s="1" t="s">
        <v>122</v>
      </c>
      <c r="D1" s="1" t="s">
        <v>160</v>
      </c>
      <c r="E1" s="1" t="s">
        <v>120</v>
      </c>
      <c r="F1" s="1" t="s">
        <v>161</v>
      </c>
      <c r="G1" s="1" t="s">
        <v>124</v>
      </c>
      <c r="H1" s="1" t="s">
        <v>123</v>
      </c>
    </row>
    <row r="2" spans="1:8" x14ac:dyDescent="0.2">
      <c r="A2" t="s">
        <v>137</v>
      </c>
      <c r="B2" s="3" t="s">
        <v>63</v>
      </c>
      <c r="C2" s="17" t="s">
        <v>65</v>
      </c>
      <c r="D2">
        <v>2</v>
      </c>
      <c r="E2" s="14">
        <v>4.16</v>
      </c>
      <c r="F2" s="8" t="s">
        <v>67</v>
      </c>
      <c r="G2" t="s">
        <v>106</v>
      </c>
    </row>
    <row r="3" spans="1:8" x14ac:dyDescent="0.2">
      <c r="A3" t="s">
        <v>138</v>
      </c>
      <c r="B3" s="3" t="s">
        <v>10</v>
      </c>
      <c r="C3" s="3" t="s">
        <v>104</v>
      </c>
      <c r="D3">
        <v>2</v>
      </c>
      <c r="E3" s="14">
        <v>0.57999999999999996</v>
      </c>
      <c r="F3" s="8" t="s">
        <v>14</v>
      </c>
      <c r="G3" t="s">
        <v>106</v>
      </c>
    </row>
    <row r="4" spans="1:8" x14ac:dyDescent="0.2">
      <c r="A4" t="s">
        <v>140</v>
      </c>
      <c r="B4" s="3" t="s">
        <v>19</v>
      </c>
      <c r="C4" s="3" t="s">
        <v>93</v>
      </c>
      <c r="D4">
        <v>1</v>
      </c>
      <c r="E4" s="14">
        <v>1.35</v>
      </c>
      <c r="F4" s="8" t="s">
        <v>162</v>
      </c>
      <c r="G4" t="s">
        <v>106</v>
      </c>
    </row>
    <row r="5" spans="1:8" x14ac:dyDescent="0.2">
      <c r="A5" t="s">
        <v>141</v>
      </c>
      <c r="B5" s="3" t="s">
        <v>24</v>
      </c>
      <c r="C5" s="3" t="s">
        <v>127</v>
      </c>
      <c r="D5">
        <v>4</v>
      </c>
      <c r="E5" s="14">
        <v>1.28</v>
      </c>
      <c r="F5" s="8" t="s">
        <v>163</v>
      </c>
      <c r="G5" t="s">
        <v>106</v>
      </c>
    </row>
    <row r="6" spans="1:8" x14ac:dyDescent="0.2">
      <c r="A6" t="s">
        <v>145</v>
      </c>
      <c r="B6" s="11" t="s">
        <v>105</v>
      </c>
      <c r="C6" s="3">
        <v>9749</v>
      </c>
      <c r="D6">
        <v>2</v>
      </c>
      <c r="E6" s="14">
        <v>0.11</v>
      </c>
      <c r="F6" s="9" t="s">
        <v>155</v>
      </c>
      <c r="G6" t="s">
        <v>106</v>
      </c>
    </row>
    <row r="7" spans="1:8" x14ac:dyDescent="0.2">
      <c r="A7" t="s">
        <v>147</v>
      </c>
      <c r="B7" s="3" t="s">
        <v>37</v>
      </c>
      <c r="C7" s="3">
        <v>1660</v>
      </c>
      <c r="D7">
        <v>2</v>
      </c>
      <c r="E7" s="14">
        <v>1.95</v>
      </c>
      <c r="F7" s="8" t="s">
        <v>153</v>
      </c>
      <c r="G7" s="8" t="s">
        <v>164</v>
      </c>
      <c r="H7" t="s">
        <v>165</v>
      </c>
    </row>
    <row r="8" spans="1:8" x14ac:dyDescent="0.2">
      <c r="A8" t="s">
        <v>144</v>
      </c>
      <c r="B8" s="3" t="s">
        <v>70</v>
      </c>
      <c r="C8" s="3">
        <v>1050170001</v>
      </c>
      <c r="D8">
        <v>2</v>
      </c>
      <c r="E8" s="14">
        <v>0.92</v>
      </c>
      <c r="F8" s="8" t="s">
        <v>166</v>
      </c>
      <c r="G8" t="s">
        <v>106</v>
      </c>
    </row>
  </sheetData>
  <hyperlinks>
    <hyperlink ref="F2" r:id="rId1" xr:uid="{8848112D-74EB-AD46-9468-10EF10A47D55}"/>
    <hyperlink ref="F3" r:id="rId2" xr:uid="{6911CFEE-0308-1948-83C3-DF19A8B4E8BF}"/>
    <hyperlink ref="F4" r:id="rId3" xr:uid="{CEBA6C16-0C1F-C344-A732-C45D5C9FC6FC}"/>
    <hyperlink ref="F5" r:id="rId4" xr:uid="{94889B94-DDBF-3F49-BA60-587DAABBB279}"/>
    <hyperlink ref="F6" r:id="rId5" display="https://www.digikey.com/en/products/detail/jst-sales-america-inc/S2B-PH-K-S/926626?gclsrc=aw.ds&amp;gad_source=1&amp;gad_campaignid=20470400566&amp;gbraid=0AAAAADrbLlg8DtxjqiUDwety2k6cAQ0XJ&amp;gclid=Cj0KCQjwlLDQBhDjARIsAPlIefHomTfTUoZ7D0P94S5mAVF3io454K95fTm66EAoDjt__qy-ohuCJpkaAg9wEALw_wcB" xr:uid="{53BFEA82-54D5-974F-9085-E4AA3562A5FC}"/>
    <hyperlink ref="G7" r:id="rId6" xr:uid="{D47423DA-5F73-8D42-AF7E-9C5B70B654FD}"/>
    <hyperlink ref="F7" r:id="rId7" xr:uid="{17098019-0BD5-6C4F-9DC4-DEA8DBA7D649}"/>
    <hyperlink ref="F8" r:id="rId8" xr:uid="{93CFCB2E-079C-FD45-B36B-E6607FB5CC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PATCH 6.0</vt:lpstr>
      <vt:lpstr>PATCH 7.0</vt:lpstr>
      <vt:lpstr>PATCH 7.1A</vt:lpstr>
      <vt:lpstr>PATCH 7.1D</vt:lpstr>
      <vt:lpstr>PATCH 8.0A</vt:lpstr>
      <vt:lpstr>PATCH 8.0D</vt:lpstr>
      <vt:lpstr>BOM</vt:lpstr>
      <vt:lpstr>HDK Spares Kit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 John, David</cp:lastModifiedBy>
  <cp:revision/>
  <dcterms:created xsi:type="dcterms:W3CDTF">2023-09-27T20:49:25Z</dcterms:created>
  <dcterms:modified xsi:type="dcterms:W3CDTF">2026-06-09T17:31:01Z</dcterms:modified>
  <cp:category/>
  <cp:contentStatus/>
</cp:coreProperties>
</file>