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owney2\Documents\GitHub\Edge-Computing-Power-Management-Development-Kit\hardware\v0.1.1\"/>
    </mc:Choice>
  </mc:AlternateContent>
  <xr:revisionPtr revIDLastSave="0" documentId="13_ncr:1_{F9E412EE-3CE4-4294-B50C-597A2438CFB5}" xr6:coauthVersionLast="47" xr6:coauthVersionMax="47" xr10:uidLastSave="{00000000-0000-0000-0000-000000000000}"/>
  <bookViews>
    <workbookView xWindow="-16320" yWindow="-6540" windowWidth="16440" windowHeight="28320" firstSheet="6" activeTab="6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Orders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<sst xmlns="http://schemas.openxmlformats.org/spreadsheetml/2006/main" count="683" uniqueCount="164">
  <si>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</si>
  <si>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</si>
  <si>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</si>
  <si>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</si>
  <si>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</si>
  <si>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</si>
  <si>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</si>
  <si>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</si>
  <si>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</si>
  <si>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</si>
  <si>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</si>
  <si>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</si>
  <si>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</si>
  <si>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</si>
  <si>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</si>
  <si>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</si>
  <si>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</si>
  <si>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</si>
  <si>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</si>
  <si>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</si>
  <si>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</si>
  <si>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</si>
  <si>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</si>
  <si>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</si>
  <si>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</si>
  <si>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</si>
  <si>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</si>
  <si>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</si>
  <si>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</si>
  <si>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</si>
  <si>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</si>
  <si>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</si>
  <si>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</si>
  <si>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</si>
  <si>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</si>
  <si>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</si>
  <si>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</si>
  <si>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</si>
  <si>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</si>
  <si>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</si>
  <si>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</si>
  <si>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</si>
  <si>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</si>
  <si>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</si>
  <si>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</si>
  <si>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</si>
  <si>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</si>
  <si>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</si>
  <si>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</si>
  <si>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</si>
  <si>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</si>
  <si>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</si>
  <si>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</si>
  <si>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</si>
  <si>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</si>
  <si>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</si>
  <si>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</si>
  <si>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</si>
  <si>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</si>
  <si>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</si>
  <si>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</si>
  <si>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</si>
  <si>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</si>
  <si>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</si>
  <si>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</si>
  <si>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</si>
  <si>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</si>
  <si>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</si>
  <si>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</si>
  <si>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</si>
  <si>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</si>
  <si>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</si>
  <si>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</si>
  <si>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</si>
  <si>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</si>
  <si>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</si>
  <si>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</si>
  <si>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</si>
  <si>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</si>
  <si>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</si>
  <si>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</si>
  <si>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</si>
  <si>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</si>
  <si>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</si>
  <si>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</si>
  <si>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</si>
  <si>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</si>
  <si>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</si>
  <si>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</si>
  <si>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</si>
  <si>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</si>
  <si>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</si>
  <si>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</si>
  <si>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</si>
  <si>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</si>
  <si>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</si>
  <si>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</si>
  <si>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</si>
  <si>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</si>
  <si>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F930J476MAA</t>
  </si>
  <si>
    <t>https://www.digikey.com/en/products/detail/kyocera-avx/F930J476MAA/4005131</t>
  </si>
  <si>
    <t>10 kΩ resistor (0805)</t>
  </si>
  <si>
    <t>RC0805FR-0710KL</t>
  </si>
  <si>
    <t>https://www.digikey.com/en/products/detail/yageo/RC0805FR-0710KL/727535</t>
  </si>
  <si>
    <t>NCP711ASN330T1G</t>
  </si>
  <si>
    <t>Right angle JST connector</t>
  </si>
  <si>
    <t xml:space="preserve"> </t>
  </si>
  <si>
    <t>10 kΩ resistor (0603)</t>
  </si>
  <si>
    <t xml:space="preserve">https://www.digikey.com/en/products/detail/yageo/RC0603FR-0710KL/726880 </t>
  </si>
  <si>
    <t>https://www.digikey.com/en/products/detail/panasonic-energy/CR1220/269740</t>
  </si>
  <si>
    <t>CR1220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</si>
  <si>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</si>
  <si>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</si>
  <si>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</si>
  <si>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</si>
  <si>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</si>
  <si>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</si>
  <si>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</si>
  <si>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</si>
  <si>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</si>
  <si>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</si>
  <si>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</si>
  <si>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</si>
  <si>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</si>
  <si>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</si>
  <si>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</si>
  <si>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</si>
  <si>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</si>
  <si>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</si>
  <si>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</si>
  <si>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</si>
  <si>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</si>
  <si>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</si>
  <si>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</si>
  <si>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</si>
  <si>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</si>
  <si>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</si>
  <si>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</si>
  <si>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</si>
  <si>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</si>
  <si>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</si>
  <si>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</si>
  <si>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</si>
  <si>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</si>
  <si>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</si>
  <si>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</si>
  <si>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</si>
  <si>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</si>
  <si>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</si>
  <si>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</si>
  <si>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</si>
  <si>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</si>
  <si>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Vendo 1</t>
  </si>
  <si>
    <t>Order Date</t>
  </si>
  <si>
    <t>Arrived</t>
  </si>
  <si>
    <t>Unit Price</t>
  </si>
  <si>
    <t>Quantity Ordered</t>
  </si>
  <si>
    <t xml:space="preserve">https://www.mouser.com/ProductDetail/Adafruit/1660?qs=GURawfaeGuCXDyGMVdt6Kw%3D%3D </t>
  </si>
  <si>
    <t xml:space="preserve">https://www.digikey.com/en/products/detail/nxp-usa-inc/PCF85063AT-AY/5170038 </t>
  </si>
  <si>
    <t>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</t>
  </si>
  <si>
    <t>This part is no longer being manufactured.</t>
  </si>
  <si>
    <t>https://www.mouser.com/ProductDetail/Analog-Devices/ADXL373BCCZ-RL7?qs=pUKx8fyJudCveJgK3GbdjQ%3D%3D</t>
  </si>
  <si>
    <t>https://www.mouser.com/ProductDetail/onsemi/NCP711ASN330T1G?qs=W%2FMpXkg%252BdQ5sbyKJ02QevQ%3D%3D</t>
  </si>
  <si>
    <t xml:space="preserve"> https://www.mouser.com/ProductDetail/Molex/105017-0001?qs=hlXxxvYE36k7QcsR97GUKA%3D%3D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</si>
</sst>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1" applyFont="1" applyAlignment="1">
      <alignment horizontal="left"/>
    </xf>
    <xf numFmtId="8" fontId="0" fillId="0" borderId="0" xfId="0" applyNumberFormat="1"/>
    <xf numFmtId="8" fontId="7" fillId="0" borderId="0" xfId="0" applyNumberFormat="1" applyFont="1"/>
    <xf numFmtId="0" fontId="0" fillId="0" borderId="0" xfId="1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/>
    <xf numFmtId="0" fontId="6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3" Type="http://schemas.openxmlformats.org/officeDocument/2006/relationships/hyperlink" Target="https://www.digikey.com/en/products/detail/molex/1050170001/2350832?s=N4IgTCBcDaIIwAYCsC4HYC0DtxAXQF8g" TargetMode="External"/><Relationship Id="rId18" Type="http://schemas.openxmlformats.org/officeDocument/2006/relationships/hyperlink" Target="https://www.arrow.com/en/products/adxl326bcpz-rl7/analog-devices.html" TargetMode="External"/><Relationship Id="rId3" Type="http://schemas.openxmlformats.org/officeDocument/2006/relationships/hyperlink" Target="https://www.digikey.com/en/products/detail/analog-devices-inc/ADXL326BCPZ-RL7/2043340" TargetMode="External"/><Relationship Id="rId21" Type="http://schemas.openxmlformats.org/officeDocument/2006/relationships/hyperlink" Target="https://www.digikey.com/en/products/detail/nxp-usa-inc/PCF85063AT-AY/5170038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www.digikey.com/en/products/detail/panasonic-energy/CR1220/269740" TargetMode="External"/><Relationship Id="rId17" Type="http://schemas.openxmlformats.org/officeDocument/2006/relationships/hyperlink" Target="https://www.digikey.com/en/products/detail/adafruit-industries-llc/1660/13996127?s=N4IgTCBcDaIIwDYEAYAEBZAlgYwE4HsBlAERAF0BfIA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keystone-electronics/3000/227440" TargetMode="External"/><Relationship Id="rId20" Type="http://schemas.openxmlformats.org/officeDocument/2006/relationships/hyperlink" Target="https://www.digikey.com/en/products/detail/nxp-usa-inc/PCF8523T-1-118/2530422?s=N4IgTCBcDaIAoGEBiAOArGAzAFQPQEYAaffFEAXQF8g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1" Type="http://schemas.openxmlformats.org/officeDocument/2006/relationships/hyperlink" Target="https://www.digikey.com/en/products/detail/yageo/RC0603FR-0710KL/726880" TargetMode="External"/><Relationship Id="rId24" Type="http://schemas.openxmlformats.org/officeDocument/2006/relationships/hyperlink" Target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TargetMode="External"/><Relationship Id="rId5" Type="http://schemas.openxmlformats.org/officeDocument/2006/relationships/hyperlink" Target="https://www.digikey.com/en/products/detail/samsung-electro-mechanics/CL10B104KB8NNWC/3887593" TargetMode="External"/><Relationship Id="rId15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3" Type="http://schemas.openxmlformats.org/officeDocument/2006/relationships/hyperlink" Target="https://www.digikey.com/en/products/detail/adafruit-industries-llc/3814/9380221" TargetMode="External"/><Relationship Id="rId10" Type="http://schemas.openxmlformats.org/officeDocument/2006/relationships/hyperlink" Target="https://www.digikey.com/en/products/detail/kyocera-avx/F930J476MAA/4005131" TargetMode="External"/><Relationship Id="rId19" Type="http://schemas.openxmlformats.org/officeDocument/2006/relationships/hyperlink" Target="https://www.newark.com/nxp/pcf8523t-1-118/alarm-rtc-40-to-85deg-c-soic-8/dp/52X6196" TargetMode="External"/><Relationship Id="rId4" Type="http://schemas.openxmlformats.org/officeDocument/2006/relationships/hyperlink" Target="https://www.digikey.com/en/products/detail/samsung-electro-mechanics/CL10A105KA8NNNC/3886760" TargetMode="External"/><Relationship Id="rId9" Type="http://schemas.openxmlformats.org/officeDocument/2006/relationships/hyperlink" Target="https://www.digikey.com/en/products/detail/yageo/RC0805FR-0710KL/727535" TargetMode="External"/><Relationship Id="rId14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2" Type="http://schemas.openxmlformats.org/officeDocument/2006/relationships/hyperlink" Target="https://www.mouser.com/ProductDetail/Adafruit/1660?qs=GURawfaeGuCXDyGMVdt6K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defaultColWidth="8.85546875" defaultRowHeight="15" x14ac:dyDescent="0.25"/>
  <cols>
    <col min="1" max="1" width="23.85546875" bestFit="1" customWidth="1"/>
    <col min="2" max="2" width="23.85546875" customWidth="1"/>
    <col min="3" max="3" width="23" bestFit="1" customWidth="1"/>
    <col min="4" max="4" width="23" customWidth="1"/>
    <col min="5" max="5" width="255.7109375" bestFit="1" customWidth="1"/>
  </cols>
  <sheetData>
    <row r="1" spans="1:5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5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5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5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5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5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5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5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defaultColWidth="8.85546875" defaultRowHeight="15" x14ac:dyDescent="0.25"/>
  <cols>
    <col min="1" max="2" width="29.140625" customWidth="1"/>
    <col min="3" max="3" width="30.7109375" bestFit="1" customWidth="1"/>
    <col min="4" max="4" width="23" customWidth="1"/>
    <col min="5" max="5" width="27.7109375" customWidth="1"/>
    <col min="7" max="7" width="13.42578125" bestFit="1" customWidth="1"/>
    <col min="8" max="8" width="18.28515625" customWidth="1"/>
    <col min="9" max="9" width="14.85546875" customWidth="1"/>
  </cols>
  <sheetData>
    <row r="1" spans="1:9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5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5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5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5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5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5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5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5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5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defaultColWidth="8.85546875" defaultRowHeight="15" x14ac:dyDescent="0.25"/>
  <cols>
    <col min="1" max="1" width="29.42578125" bestFit="1" customWidth="1"/>
    <col min="2" max="2" width="26.140625" bestFit="1" customWidth="1"/>
    <col min="3" max="3" width="30.7109375" bestFit="1" customWidth="1"/>
    <col min="4" max="4" width="21.7109375" customWidth="1"/>
    <col min="5" max="5" width="19.42578125" customWidth="1"/>
    <col min="7" max="7" width="13.42578125" bestFit="1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5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5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5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5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defaultColWidth="8.85546875" defaultRowHeight="15" x14ac:dyDescent="0.25"/>
  <cols>
    <col min="1" max="1" width="29.42578125" bestFit="1" customWidth="1"/>
    <col min="2" max="2" width="26.140625" bestFit="1" customWidth="1"/>
    <col min="3" max="3" width="30.7109375" bestFit="1" customWidth="1"/>
    <col min="4" max="4" width="20.140625" customWidth="1"/>
    <col min="5" max="5" width="32.42578125" customWidth="1"/>
    <col min="7" max="7" width="13.42578125" bestFit="1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5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5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5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5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5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defaultColWidth="8.85546875" defaultRowHeight="15" x14ac:dyDescent="0.25"/>
  <cols>
    <col min="1" max="1" width="28.42578125" bestFit="1" customWidth="1"/>
    <col min="2" max="2" width="26.140625" bestFit="1" customWidth="1"/>
    <col min="3" max="3" width="21.140625" bestFit="1" customWidth="1"/>
    <col min="4" max="4" width="25.7109375" customWidth="1"/>
    <col min="5" max="5" width="28.140625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5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5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5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defaultColWidth="8.85546875" defaultRowHeight="15" x14ac:dyDescent="0.25"/>
  <cols>
    <col min="1" max="1" width="29.42578125" bestFit="1" customWidth="1"/>
    <col min="2" max="2" width="26.140625" bestFit="1" customWidth="1"/>
    <col min="3" max="3" width="21.140625" bestFit="1" customWidth="1"/>
    <col min="4" max="4" width="16.28515625" customWidth="1"/>
    <col min="5" max="5" width="21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5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5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5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5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M22"/>
  <sheetViews>
    <sheetView tabSelected="1" topLeftCell="I1" zoomScale="125" zoomScaleNormal="125" workbookViewId="0">
      <selection activeCell="J25" sqref="J25"/>
    </sheetView>
  </sheetViews>
  <sheetFormatPr defaultColWidth="11.42578125" defaultRowHeight="15" x14ac:dyDescent="0.25"/>
  <cols>
    <col min="1" max="1" width="9.85546875" bestFit="1" customWidth="1"/>
    <col min="2" max="2" width="24.85546875" bestFit="1" customWidth="1"/>
    <col min="3" max="3" width="22.42578125" customWidth="1"/>
    <col min="4" max="4" width="15.85546875" bestFit="1" customWidth="1"/>
    <col min="5" max="5" width="12.140625" bestFit="1" customWidth="1"/>
    <col min="6" max="6" width="8.140625" bestFit="1" customWidth="1"/>
    <col min="7" max="7" width="8.7109375" bestFit="1" customWidth="1"/>
    <col min="8" max="8" width="42.42578125" customWidth="1"/>
    <col min="9" max="9" width="51.85546875" customWidth="1"/>
    <col min="10" max="10" width="29.140625" customWidth="1"/>
  </cols>
  <sheetData>
    <row r="1" spans="1:13" s="1" customFormat="1" x14ac:dyDescent="0.25">
      <c r="A1" s="1" t="s">
        <v>116</v>
      </c>
      <c r="B1" s="1" t="s">
        <v>117</v>
      </c>
      <c r="C1" s="1" t="s">
        <v>122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123</v>
      </c>
      <c r="I1" s="1" t="s">
        <v>152</v>
      </c>
      <c r="J1" s="1" t="s">
        <v>124</v>
      </c>
      <c r="K1" s="1" t="s">
        <v>149</v>
      </c>
    </row>
    <row r="2" spans="1:13" x14ac:dyDescent="0.25">
      <c r="A2" t="s">
        <v>137</v>
      </c>
      <c r="B2" s="3" t="s">
        <v>63</v>
      </c>
      <c r="C2" s="19" t="s">
        <v>65</v>
      </c>
      <c r="D2">
        <v>1</v>
      </c>
      <c r="E2" s="13">
        <v>3</v>
      </c>
      <c r="F2" s="14">
        <v>4.16</v>
      </c>
      <c r="G2" s="14">
        <f>E2*F2</f>
        <v>12.48</v>
      </c>
      <c r="I2" s="9" t="s">
        <v>67</v>
      </c>
      <c r="J2" t="s">
        <v>106</v>
      </c>
      <c r="K2" t="s">
        <v>106</v>
      </c>
    </row>
    <row r="3" spans="1:13" x14ac:dyDescent="0.25">
      <c r="A3" t="s">
        <v>138</v>
      </c>
      <c r="B3" s="3" t="s">
        <v>10</v>
      </c>
      <c r="C3" s="3" t="s">
        <v>104</v>
      </c>
      <c r="D3">
        <v>1</v>
      </c>
      <c r="E3" s="13">
        <v>3</v>
      </c>
      <c r="F3" s="15">
        <v>0.57999999999999996</v>
      </c>
      <c r="G3" s="15">
        <f>E3*F3</f>
        <v>1.7399999999999998</v>
      </c>
      <c r="I3" s="9" t="s">
        <v>14</v>
      </c>
      <c r="J3" t="s">
        <v>162</v>
      </c>
      <c r="K3" t="s">
        <v>106</v>
      </c>
    </row>
    <row r="4" spans="1:13" x14ac:dyDescent="0.25">
      <c r="A4" t="s">
        <v>139</v>
      </c>
      <c r="B4" s="3" t="s">
        <v>15</v>
      </c>
      <c r="C4" s="3" t="s">
        <v>89</v>
      </c>
      <c r="D4">
        <v>1</v>
      </c>
      <c r="E4" s="13">
        <v>3</v>
      </c>
      <c r="F4" s="14">
        <v>7.01</v>
      </c>
      <c r="G4" s="14">
        <f t="shared" ref="G4:G20" si="0">E4*F4</f>
        <v>21.03</v>
      </c>
      <c r="I4" s="9" t="s">
        <v>91</v>
      </c>
      <c r="J4" t="s">
        <v>161</v>
      </c>
      <c r="K4" s="8" t="s">
        <v>148</v>
      </c>
    </row>
    <row r="5" spans="1:13" x14ac:dyDescent="0.25">
      <c r="A5" t="s">
        <v>140</v>
      </c>
      <c r="B5" s="3" t="s">
        <v>19</v>
      </c>
      <c r="C5" s="3" t="s">
        <v>93</v>
      </c>
      <c r="D5">
        <v>1</v>
      </c>
      <c r="E5" s="13">
        <v>3</v>
      </c>
      <c r="F5" s="15">
        <v>0.75770000000000004</v>
      </c>
      <c r="G5" s="15">
        <f t="shared" si="0"/>
        <v>2.2731000000000003</v>
      </c>
      <c r="H5" t="s">
        <v>160</v>
      </c>
      <c r="I5" s="9" t="s">
        <v>111</v>
      </c>
      <c r="J5" s="8" t="s">
        <v>126</v>
      </c>
      <c r="K5" s="8" t="s">
        <v>150</v>
      </c>
      <c r="L5" s="8" t="s">
        <v>158</v>
      </c>
      <c r="M5" t="s">
        <v>106</v>
      </c>
    </row>
    <row r="6" spans="1:13" x14ac:dyDescent="0.25">
      <c r="A6" t="s">
        <v>141</v>
      </c>
      <c r="B6" s="3" t="s">
        <v>24</v>
      </c>
      <c r="C6" s="3" t="s">
        <v>127</v>
      </c>
      <c r="D6">
        <v>1</v>
      </c>
      <c r="E6" s="13">
        <v>3</v>
      </c>
      <c r="F6" s="15">
        <v>1.28</v>
      </c>
      <c r="G6" s="14">
        <f t="shared" si="0"/>
        <v>3.84</v>
      </c>
      <c r="I6" s="9" t="s">
        <v>112</v>
      </c>
      <c r="J6" t="s">
        <v>106</v>
      </c>
      <c r="K6" t="s">
        <v>106</v>
      </c>
    </row>
    <row r="7" spans="1:13" x14ac:dyDescent="0.25">
      <c r="A7" t="s">
        <v>145</v>
      </c>
      <c r="B7" s="11" t="s">
        <v>105</v>
      </c>
      <c r="C7" s="3">
        <v>9749</v>
      </c>
      <c r="D7">
        <v>1</v>
      </c>
      <c r="E7" s="13">
        <v>5</v>
      </c>
      <c r="F7" s="14">
        <v>1.1000000000000001</v>
      </c>
      <c r="G7" s="15">
        <f t="shared" si="0"/>
        <v>5.5</v>
      </c>
      <c r="I7" s="9" t="s">
        <v>159</v>
      </c>
      <c r="J7" s="8" t="s">
        <v>106</v>
      </c>
      <c r="K7" s="16" t="s">
        <v>106</v>
      </c>
    </row>
    <row r="8" spans="1:13" x14ac:dyDescent="0.25">
      <c r="A8" t="s">
        <v>146</v>
      </c>
      <c r="B8" s="3" t="s">
        <v>128</v>
      </c>
      <c r="C8" s="3" t="s">
        <v>110</v>
      </c>
      <c r="D8">
        <v>1</v>
      </c>
      <c r="E8" s="13">
        <v>5</v>
      </c>
      <c r="F8" s="14">
        <v>1.06</v>
      </c>
      <c r="G8" s="14">
        <f t="shared" si="0"/>
        <v>5.3000000000000007</v>
      </c>
      <c r="I8" s="9" t="s">
        <v>109</v>
      </c>
      <c r="J8" t="s">
        <v>106</v>
      </c>
      <c r="K8" s="16" t="s">
        <v>106</v>
      </c>
    </row>
    <row r="9" spans="1:13" x14ac:dyDescent="0.25">
      <c r="A9" t="s">
        <v>142</v>
      </c>
      <c r="B9" s="3" t="s">
        <v>29</v>
      </c>
      <c r="C9" s="3">
        <v>3000</v>
      </c>
      <c r="D9">
        <v>1</v>
      </c>
      <c r="E9" s="13">
        <v>3</v>
      </c>
      <c r="F9" s="14">
        <v>0.4</v>
      </c>
      <c r="G9" s="15">
        <f t="shared" si="0"/>
        <v>1.2000000000000002</v>
      </c>
      <c r="I9" s="9" t="s">
        <v>113</v>
      </c>
      <c r="J9" t="s">
        <v>106</v>
      </c>
      <c r="K9" s="16" t="s">
        <v>106</v>
      </c>
    </row>
    <row r="10" spans="1:13" x14ac:dyDescent="0.25">
      <c r="A10" t="s">
        <v>143</v>
      </c>
      <c r="B10" s="3" t="s">
        <v>33</v>
      </c>
      <c r="C10" s="3">
        <v>11574</v>
      </c>
      <c r="D10">
        <v>1</v>
      </c>
      <c r="E10" s="13">
        <v>2</v>
      </c>
      <c r="F10" s="14">
        <v>31.88</v>
      </c>
      <c r="G10" s="14">
        <f t="shared" si="0"/>
        <v>63.76</v>
      </c>
      <c r="I10" s="9" t="s">
        <v>36</v>
      </c>
      <c r="J10" t="s">
        <v>106</v>
      </c>
      <c r="K10" s="16" t="s">
        <v>106</v>
      </c>
    </row>
    <row r="11" spans="1:13" x14ac:dyDescent="0.25">
      <c r="A11" t="s">
        <v>147</v>
      </c>
      <c r="B11" s="3" t="s">
        <v>37</v>
      </c>
      <c r="C11" s="3">
        <v>1660</v>
      </c>
      <c r="D11">
        <v>1</v>
      </c>
      <c r="E11" s="13">
        <v>3</v>
      </c>
      <c r="F11" s="14">
        <v>1.95</v>
      </c>
      <c r="G11" s="15">
        <f t="shared" si="0"/>
        <v>5.85</v>
      </c>
      <c r="I11" s="9" t="s">
        <v>114</v>
      </c>
      <c r="J11" s="8" t="s">
        <v>157</v>
      </c>
      <c r="K11" s="8" t="s">
        <v>106</v>
      </c>
      <c r="L11" t="s">
        <v>106</v>
      </c>
    </row>
    <row r="12" spans="1:13" x14ac:dyDescent="0.25">
      <c r="A12" t="s">
        <v>146</v>
      </c>
      <c r="B12" s="3" t="s">
        <v>40</v>
      </c>
      <c r="C12" s="3">
        <v>3814</v>
      </c>
      <c r="D12">
        <v>1</v>
      </c>
      <c r="E12" s="13">
        <v>0</v>
      </c>
      <c r="F12" s="14">
        <v>0.75</v>
      </c>
      <c r="G12" s="14">
        <f t="shared" si="0"/>
        <v>0</v>
      </c>
      <c r="I12" s="9" t="s">
        <v>41</v>
      </c>
      <c r="J12" t="s">
        <v>106</v>
      </c>
      <c r="K12" s="16" t="s">
        <v>106</v>
      </c>
    </row>
    <row r="13" spans="1:13" x14ac:dyDescent="0.25">
      <c r="A13" t="s">
        <v>144</v>
      </c>
      <c r="B13" s="3" t="s">
        <v>70</v>
      </c>
      <c r="C13" s="3">
        <v>1050170001</v>
      </c>
      <c r="D13">
        <v>1</v>
      </c>
      <c r="E13" s="13">
        <v>3</v>
      </c>
      <c r="F13" s="14">
        <v>0.92</v>
      </c>
      <c r="G13" s="15">
        <f t="shared" si="0"/>
        <v>2.7600000000000002</v>
      </c>
      <c r="I13" s="9" t="s">
        <v>115</v>
      </c>
      <c r="J13" t="s">
        <v>163</v>
      </c>
      <c r="K13" s="16" t="s">
        <v>106</v>
      </c>
    </row>
    <row r="14" spans="1:13" x14ac:dyDescent="0.25">
      <c r="A14" t="s">
        <v>131</v>
      </c>
      <c r="B14" s="3" t="s">
        <v>125</v>
      </c>
      <c r="C14" s="3" t="s">
        <v>74</v>
      </c>
      <c r="D14">
        <v>3</v>
      </c>
      <c r="E14" s="13">
        <v>10</v>
      </c>
      <c r="F14" s="14">
        <v>2.1000000000000001E-2</v>
      </c>
      <c r="G14" s="14">
        <f t="shared" si="0"/>
        <v>0.21000000000000002</v>
      </c>
      <c r="I14" s="9" t="s">
        <v>75</v>
      </c>
      <c r="J14" t="s">
        <v>106</v>
      </c>
      <c r="K14" s="16" t="s">
        <v>106</v>
      </c>
    </row>
    <row r="15" spans="1:13" x14ac:dyDescent="0.25">
      <c r="A15" t="s">
        <v>132</v>
      </c>
      <c r="B15" s="3" t="s">
        <v>81</v>
      </c>
      <c r="C15" s="3" t="s">
        <v>82</v>
      </c>
      <c r="D15">
        <v>1</v>
      </c>
      <c r="E15" s="13">
        <v>10</v>
      </c>
      <c r="F15" s="14">
        <v>0.03</v>
      </c>
      <c r="G15" s="15">
        <f t="shared" si="0"/>
        <v>0.3</v>
      </c>
      <c r="I15" s="9" t="s">
        <v>83</v>
      </c>
      <c r="J15" t="s">
        <v>106</v>
      </c>
    </row>
    <row r="16" spans="1:13" x14ac:dyDescent="0.25">
      <c r="A16" t="s">
        <v>133</v>
      </c>
      <c r="B16" s="3" t="s">
        <v>55</v>
      </c>
      <c r="C16" s="3" t="s">
        <v>57</v>
      </c>
      <c r="D16">
        <v>3</v>
      </c>
      <c r="E16" s="13">
        <v>10</v>
      </c>
      <c r="F16" s="14">
        <v>3.6999999999999998E-2</v>
      </c>
      <c r="G16" s="14">
        <f t="shared" si="0"/>
        <v>0.37</v>
      </c>
      <c r="I16" s="9" t="s">
        <v>58</v>
      </c>
      <c r="J16" t="s">
        <v>106</v>
      </c>
      <c r="K16" s="16" t="s">
        <v>106</v>
      </c>
    </row>
    <row r="17" spans="1:11" x14ac:dyDescent="0.25">
      <c r="A17" t="s">
        <v>134</v>
      </c>
      <c r="B17" s="3" t="s">
        <v>85</v>
      </c>
      <c r="C17" s="3" t="s">
        <v>129</v>
      </c>
      <c r="D17">
        <v>2</v>
      </c>
      <c r="E17" s="13">
        <v>10</v>
      </c>
      <c r="F17" s="14">
        <v>7.1999999999999995E-2</v>
      </c>
      <c r="G17" s="15">
        <f t="shared" si="0"/>
        <v>0.72</v>
      </c>
      <c r="I17" s="9" t="s">
        <v>88</v>
      </c>
      <c r="J17" t="s">
        <v>106</v>
      </c>
      <c r="K17" s="16" t="s">
        <v>106</v>
      </c>
    </row>
    <row r="18" spans="1:11" x14ac:dyDescent="0.25">
      <c r="A18" t="s">
        <v>135</v>
      </c>
      <c r="B18" s="3" t="s">
        <v>98</v>
      </c>
      <c r="C18" s="3" t="s">
        <v>99</v>
      </c>
      <c r="D18">
        <v>1</v>
      </c>
      <c r="E18" s="13">
        <v>10</v>
      </c>
      <c r="F18" s="14">
        <v>0.28499999999999998</v>
      </c>
      <c r="G18" s="14">
        <f t="shared" si="0"/>
        <v>2.8499999999999996</v>
      </c>
      <c r="I18" s="9" t="s">
        <v>100</v>
      </c>
      <c r="J18" t="s">
        <v>106</v>
      </c>
      <c r="K18" s="16" t="s">
        <v>106</v>
      </c>
    </row>
    <row r="19" spans="1:11" x14ac:dyDescent="0.25">
      <c r="A19" t="s">
        <v>136</v>
      </c>
      <c r="B19" s="3" t="s">
        <v>101</v>
      </c>
      <c r="C19" s="3" t="s">
        <v>102</v>
      </c>
      <c r="D19">
        <v>2</v>
      </c>
      <c r="E19" s="13">
        <v>10</v>
      </c>
      <c r="F19" s="14">
        <v>3.4000000000000002E-2</v>
      </c>
      <c r="G19" s="15">
        <f t="shared" si="0"/>
        <v>0.34</v>
      </c>
      <c r="I19" s="9" t="s">
        <v>103</v>
      </c>
      <c r="J19" t="s">
        <v>106</v>
      </c>
      <c r="K19" s="16" t="s">
        <v>106</v>
      </c>
    </row>
    <row r="20" spans="1:11" x14ac:dyDescent="0.25">
      <c r="A20" t="s">
        <v>136</v>
      </c>
      <c r="B20" s="3" t="s">
        <v>107</v>
      </c>
      <c r="C20" s="3" t="s">
        <v>130</v>
      </c>
      <c r="D20">
        <v>2</v>
      </c>
      <c r="E20" s="12">
        <v>10</v>
      </c>
      <c r="F20" s="14">
        <v>2.5000000000000001E-2</v>
      </c>
      <c r="G20" s="14">
        <f t="shared" si="0"/>
        <v>0.25</v>
      </c>
      <c r="I20" s="9" t="s">
        <v>108</v>
      </c>
      <c r="J20" t="s">
        <v>106</v>
      </c>
      <c r="K20" s="16" t="s">
        <v>106</v>
      </c>
    </row>
    <row r="21" spans="1:11" x14ac:dyDescent="0.25">
      <c r="F21" t="s">
        <v>151</v>
      </c>
      <c r="G21" s="14">
        <f>SUM(G2:G20)</f>
        <v>130.7731</v>
      </c>
      <c r="K21" s="16" t="s">
        <v>106</v>
      </c>
    </row>
    <row r="22" spans="1:11" x14ac:dyDescent="0.25">
      <c r="K22" s="16" t="s">
        <v>106</v>
      </c>
    </row>
  </sheetData>
  <hyperlinks>
    <hyperlink ref="I2" r:id="rId1" xr:uid="{784743AC-1CA9-2E4A-B45E-71C10508EDE0}"/>
    <hyperlink ref="I17" r:id="rId2" xr:uid="{151EA8BB-FCA8-4242-89E5-22A6BAA0DF4A}"/>
    <hyperlink ref="I4" r:id="rId3" xr:uid="{2FAD39F5-B682-8846-97F2-096DB73A8DB6}"/>
    <hyperlink ref="I15" r:id="rId4" xr:uid="{D3EC366E-078B-CC4B-81D0-A5AF54E25A6F}"/>
    <hyperlink ref="I14" r:id="rId5" xr:uid="{9FA52737-046B-F94E-BD9A-848A25C977F8}"/>
    <hyperlink ref="I10" r:id="rId6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7" xr:uid="{E36B3917-034D-4546-AC9A-28C3CFF43C58}"/>
    <hyperlink ref="I16" r:id="rId8" xr:uid="{D717E9B0-7B3E-914B-A144-1A9E7938A3E3}"/>
    <hyperlink ref="I19" r:id="rId9" xr:uid="{1BFBF5F8-A755-C040-B919-854624B1561B}"/>
    <hyperlink ref="I18" r:id="rId10" xr:uid="{E795A01A-E799-B04D-A5E2-5F82BC618D8D}"/>
    <hyperlink ref="I20" r:id="rId11" xr:uid="{D54F72EC-6324-934D-86F6-CAC1B1BEB84D}"/>
    <hyperlink ref="I8" r:id="rId12" xr:uid="{50120389-F8DF-DF40-9233-9A6B37C405C5}"/>
    <hyperlink ref="I13" r:id="rId13" xr:uid="{27B8C719-388A-7745-9A17-B4D105976BCB}"/>
    <hyperlink ref="J5" r:id="rId14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5" xr:uid="{1F0504D9-999B-604A-BC8C-1DD58F2649EA}"/>
    <hyperlink ref="I9" r:id="rId16" xr:uid="{9ADD7A19-15AF-004C-80C5-0F4C51699992}"/>
    <hyperlink ref="I11" r:id="rId17" xr:uid="{403F295A-2B42-DE4C-8F52-FE0B71B85BF1}"/>
    <hyperlink ref="K4" r:id="rId18" xr:uid="{E5D7CB6C-2662-8944-9DA9-6127238A42E8}"/>
    <hyperlink ref="K5" r:id="rId19" xr:uid="{046EA6BE-48C4-3B41-8036-684000CFDB4D}"/>
    <hyperlink ref="I5" r:id="rId20" xr:uid="{B4A5999F-110E-5F4B-8D7D-E9F98C55BC7F}"/>
    <hyperlink ref="L5" r:id="rId21" xr:uid="{10AA818C-D46B-2E4F-9DF0-1368C0673C54}"/>
    <hyperlink ref="J11" r:id="rId22" xr:uid="{A2FE312B-B17E-6E40-B50F-03184E20CC67}"/>
    <hyperlink ref="I12" r:id="rId23" xr:uid="{E869A8A3-1E39-324F-B9EB-AEB400CA1C48}"/>
    <hyperlink ref="I7" r:id="rId24" display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xr:uid="{58E6B9D1-8FD5-4BD0-9D16-E895003F13E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274E-51ED-9340-8C08-59AC0A5619B3}">
  <dimension ref="A1:F19"/>
  <sheetViews>
    <sheetView zoomScale="125" zoomScaleNormal="125" workbookViewId="0">
      <selection activeCell="A23" sqref="A23"/>
    </sheetView>
  </sheetViews>
  <sheetFormatPr defaultColWidth="11.42578125" defaultRowHeight="15" x14ac:dyDescent="0.25"/>
  <cols>
    <col min="1" max="1" width="20.42578125" bestFit="1" customWidth="1"/>
    <col min="4" max="4" width="15.140625" bestFit="1" customWidth="1"/>
  </cols>
  <sheetData>
    <row r="1" spans="1:6" s="1" customFormat="1" x14ac:dyDescent="0.25">
      <c r="A1" s="1" t="s">
        <v>117</v>
      </c>
      <c r="B1" s="1" t="s">
        <v>59</v>
      </c>
      <c r="C1" s="1" t="s">
        <v>153</v>
      </c>
      <c r="D1" s="1" t="s">
        <v>156</v>
      </c>
      <c r="E1" s="1" t="s">
        <v>154</v>
      </c>
      <c r="F1" s="1" t="s">
        <v>155</v>
      </c>
    </row>
    <row r="2" spans="1:6" x14ac:dyDescent="0.25">
      <c r="A2" s="3" t="s">
        <v>63</v>
      </c>
      <c r="B2" s="17" t="b">
        <v>1</v>
      </c>
      <c r="C2" s="18">
        <v>46160</v>
      </c>
      <c r="D2" s="18"/>
      <c r="E2" s="17" t="b">
        <v>0</v>
      </c>
      <c r="F2" s="14">
        <v>4.16</v>
      </c>
    </row>
    <row r="3" spans="1:6" x14ac:dyDescent="0.25">
      <c r="A3" s="3" t="s">
        <v>10</v>
      </c>
      <c r="B3" s="17" t="b">
        <v>0</v>
      </c>
      <c r="E3" s="17" t="b">
        <v>0</v>
      </c>
      <c r="F3" s="15">
        <v>0.57999999999999996</v>
      </c>
    </row>
    <row r="4" spans="1:6" x14ac:dyDescent="0.25">
      <c r="A4" s="3" t="s">
        <v>15</v>
      </c>
      <c r="B4" s="17" t="b">
        <v>0</v>
      </c>
      <c r="E4" s="17" t="b">
        <v>0</v>
      </c>
      <c r="F4" s="14">
        <v>7.01</v>
      </c>
    </row>
    <row r="5" spans="1:6" x14ac:dyDescent="0.25">
      <c r="A5" s="3" t="s">
        <v>19</v>
      </c>
      <c r="B5" s="17" t="b">
        <v>1</v>
      </c>
      <c r="C5" s="18">
        <v>46166</v>
      </c>
      <c r="E5" s="17" t="b">
        <v>0</v>
      </c>
      <c r="F5" s="15">
        <v>0.75770000000000004</v>
      </c>
    </row>
    <row r="6" spans="1:6" x14ac:dyDescent="0.25">
      <c r="A6" s="3" t="s">
        <v>24</v>
      </c>
      <c r="B6" s="17" t="b">
        <v>1</v>
      </c>
      <c r="C6" s="18">
        <v>46160</v>
      </c>
      <c r="D6" s="18"/>
      <c r="E6" s="17" t="b">
        <v>0</v>
      </c>
      <c r="F6" s="15">
        <v>1.28</v>
      </c>
    </row>
    <row r="7" spans="1:6" x14ac:dyDescent="0.25">
      <c r="A7" s="11" t="s">
        <v>105</v>
      </c>
      <c r="B7" s="17" t="b">
        <v>1</v>
      </c>
      <c r="C7" s="18">
        <v>46166</v>
      </c>
      <c r="E7" s="17" t="b">
        <v>0</v>
      </c>
      <c r="F7" s="14">
        <v>1.1000000000000001</v>
      </c>
    </row>
    <row r="8" spans="1:6" x14ac:dyDescent="0.25">
      <c r="A8" s="3" t="s">
        <v>128</v>
      </c>
      <c r="B8" s="17" t="b">
        <v>1</v>
      </c>
      <c r="C8" s="18">
        <v>46166</v>
      </c>
      <c r="E8" s="17" t="b">
        <v>0</v>
      </c>
      <c r="F8" s="14">
        <v>1.06</v>
      </c>
    </row>
    <row r="9" spans="1:6" x14ac:dyDescent="0.25">
      <c r="A9" s="3" t="s">
        <v>29</v>
      </c>
      <c r="B9" s="17" t="b">
        <v>1</v>
      </c>
      <c r="C9" s="18">
        <v>46160</v>
      </c>
      <c r="D9" s="18"/>
      <c r="E9" s="17" t="b">
        <v>0</v>
      </c>
      <c r="F9" s="14">
        <v>0.4</v>
      </c>
    </row>
    <row r="10" spans="1:6" x14ac:dyDescent="0.25">
      <c r="A10" s="3" t="s">
        <v>33</v>
      </c>
      <c r="B10" s="17" t="b">
        <v>0</v>
      </c>
      <c r="E10" s="17" t="b">
        <v>0</v>
      </c>
      <c r="F10" s="14">
        <v>31.88</v>
      </c>
    </row>
    <row r="11" spans="1:6" x14ac:dyDescent="0.25">
      <c r="A11" s="3" t="s">
        <v>37</v>
      </c>
      <c r="B11" s="17" t="b">
        <v>1</v>
      </c>
      <c r="C11" s="18">
        <v>46166</v>
      </c>
      <c r="E11" s="17" t="b">
        <v>0</v>
      </c>
      <c r="F11" s="14">
        <v>1.95</v>
      </c>
    </row>
    <row r="12" spans="1:6" x14ac:dyDescent="0.25">
      <c r="A12" s="3" t="s">
        <v>70</v>
      </c>
      <c r="B12" s="17" t="b">
        <v>0</v>
      </c>
      <c r="E12" s="17" t="b">
        <v>0</v>
      </c>
      <c r="F12" s="14">
        <v>0.92</v>
      </c>
    </row>
    <row r="13" spans="1:6" x14ac:dyDescent="0.25">
      <c r="A13" s="3" t="s">
        <v>125</v>
      </c>
      <c r="B13" s="17" t="b">
        <v>1</v>
      </c>
      <c r="C13" s="18">
        <v>46160</v>
      </c>
      <c r="D13" s="18"/>
      <c r="E13" s="17" t="b">
        <v>0</v>
      </c>
      <c r="F13" s="14">
        <v>2.1000000000000001E-2</v>
      </c>
    </row>
    <row r="14" spans="1:6" x14ac:dyDescent="0.25">
      <c r="A14" s="3" t="s">
        <v>81</v>
      </c>
      <c r="B14" s="17" t="b">
        <v>1</v>
      </c>
      <c r="C14" s="18">
        <v>46160</v>
      </c>
      <c r="D14" s="18"/>
      <c r="E14" s="17" t="b">
        <v>0</v>
      </c>
      <c r="F14" s="14">
        <v>0.03</v>
      </c>
    </row>
    <row r="15" spans="1:6" x14ac:dyDescent="0.25">
      <c r="A15" s="3" t="s">
        <v>55</v>
      </c>
      <c r="B15" s="17" t="b">
        <v>1</v>
      </c>
      <c r="C15" s="18">
        <v>46160</v>
      </c>
      <c r="D15" s="18"/>
      <c r="E15" s="17" t="b">
        <v>0</v>
      </c>
      <c r="F15" s="14">
        <v>3.6999999999999998E-2</v>
      </c>
    </row>
    <row r="16" spans="1:6" x14ac:dyDescent="0.25">
      <c r="A16" s="3" t="s">
        <v>85</v>
      </c>
      <c r="B16" s="17" t="b">
        <v>1</v>
      </c>
      <c r="C16" s="18">
        <v>46160</v>
      </c>
      <c r="D16" s="18"/>
      <c r="E16" s="17" t="b">
        <v>0</v>
      </c>
      <c r="F16" s="14">
        <v>7.1999999999999995E-2</v>
      </c>
    </row>
    <row r="17" spans="1:6" x14ac:dyDescent="0.25">
      <c r="A17" s="3" t="s">
        <v>98</v>
      </c>
      <c r="B17" s="17" t="b">
        <v>1</v>
      </c>
      <c r="C17" s="18">
        <v>46160</v>
      </c>
      <c r="D17" s="18"/>
      <c r="E17" s="17" t="b">
        <v>0</v>
      </c>
      <c r="F17" s="14">
        <v>0.28499999999999998</v>
      </c>
    </row>
    <row r="18" spans="1:6" x14ac:dyDescent="0.25">
      <c r="A18" s="3" t="s">
        <v>101</v>
      </c>
      <c r="B18" s="17" t="b">
        <v>1</v>
      </c>
      <c r="C18" s="18">
        <v>46160</v>
      </c>
      <c r="D18" s="18"/>
      <c r="E18" s="17" t="b">
        <v>0</v>
      </c>
      <c r="F18" s="14">
        <v>3.4000000000000002E-2</v>
      </c>
    </row>
    <row r="19" spans="1:6" x14ac:dyDescent="0.25">
      <c r="A19" s="3" t="s">
        <v>107</v>
      </c>
      <c r="B19" s="17" t="b">
        <v>0</v>
      </c>
      <c r="E19" s="17" t="b">
        <v>0</v>
      </c>
      <c r="F19" s="14">
        <v>2.5000000000000001E-2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Downey, Austin</cp:lastModifiedBy>
  <cp:revision/>
  <dcterms:created xsi:type="dcterms:W3CDTF">2023-09-27T20:49:25Z</dcterms:created>
  <dcterms:modified xsi:type="dcterms:W3CDTF">2026-05-26T01:40:29Z</dcterms:modified>
  <cp:category/>
  <cp:contentStatus/>
</cp:coreProperties>
</file>