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8A9DE2E0-A565-7245-A971-421DA47454FF}" xr6:coauthVersionLast="47" xr6:coauthVersionMax="47" xr10:uidLastSave="{00000000-0000-0000-0000-000000000000}"/>
  <bookViews>
    <workbookView xWindow="0" yWindow="680" windowWidth="34200" windowHeight="21460" firstSheet="6" activeTab="6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rder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<sst xmlns="http://schemas.openxmlformats.org/spreadsheetml/2006/main" count="690" uniqueCount="167">
  <si>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</si>
  <si>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</si>
  <si>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</si>
  <si>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</si>
  <si>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</si>
  <si>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</si>
  <si>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</si>
  <si>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</si>
  <si>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</si>
  <si>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</si>
  <si>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</si>
  <si>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</si>
  <si>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</si>
  <si>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</si>
  <si>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</si>
  <si>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</si>
  <si>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</si>
  <si>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</si>
  <si>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</si>
  <si>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</si>
  <si>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</si>
  <si>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</si>
  <si>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</si>
  <si>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</si>
  <si>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</si>
  <si>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</si>
  <si>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</si>
  <si>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</si>
  <si>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</si>
  <si>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</si>
  <si>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</si>
  <si>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</si>
  <si>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</si>
  <si>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</si>
  <si>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</si>
  <si>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</si>
  <si>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</si>
  <si>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</si>
  <si>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</si>
  <si>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</si>
  <si>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</si>
  <si>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</si>
  <si>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</si>
  <si>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</si>
  <si>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</si>
  <si>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</si>
  <si>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</si>
  <si>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</si>
  <si>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</si>
  <si>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</si>
  <si>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</si>
  <si>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</si>
  <si>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</si>
  <si>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</si>
  <si>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</si>
  <si>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</si>
  <si>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</si>
  <si>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</si>
  <si>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</si>
  <si>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</si>
  <si>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</si>
  <si>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</si>
  <si>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</si>
  <si>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</si>
  <si>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</si>
  <si>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</si>
  <si>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</si>
  <si>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</si>
  <si>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</si>
  <si>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</si>
  <si>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</si>
  <si>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</si>
  <si>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</si>
  <si>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</si>
  <si>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</si>
  <si>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</si>
  <si>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</si>
  <si>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</si>
  <si>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</si>
  <si>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</si>
  <si>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</si>
  <si>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</si>
  <si>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</si>
  <si>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</si>
  <si>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</si>
  <si>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</si>
  <si>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</si>
  <si>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</si>
  <si>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</si>
  <si>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</si>
  <si>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</si>
  <si>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</si>
  <si>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</si>
  <si>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</si>
  <si>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</si>
  <si>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</si>
  <si>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</si>
  <si>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</si>
  <si>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</si>
  <si>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F930J476MAA</t>
  </si>
  <si>
    <t>https://www.digikey.com/en/products/detail/kyocera-avx/F930J476MAA/4005131</t>
  </si>
  <si>
    <t>10 kΩ resistor (0805)</t>
  </si>
  <si>
    <t>RC0805FR-0710KL</t>
  </si>
  <si>
    <t>https://www.digikey.com/en/products/detail/yageo/RC0805FR-0710KL/727535</t>
  </si>
  <si>
    <t>NCP711ASN330T1G</t>
  </si>
  <si>
    <t>Right angle JST connector</t>
  </si>
  <si>
    <t xml:space="preserve"> </t>
  </si>
  <si>
    <t>10 kΩ resistor (0603)</t>
  </si>
  <si>
    <t xml:space="preserve">https://www.digikey.com/en/products/detail/yageo/RC0603FR-0710KL/726880 </t>
  </si>
  <si>
    <t>https://www.digikey.com/en/products/detail/panasonic-energy/CR1220/269740</t>
  </si>
  <si>
    <t>CR1220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</si>
  <si>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</si>
  <si>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</si>
  <si>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</si>
  <si>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</si>
  <si>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</si>
  <si>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</si>
  <si>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</si>
  <si>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</si>
  <si>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</si>
  <si>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</si>
  <si>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</si>
  <si>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</si>
  <si>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</si>
  <si>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</si>
  <si>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</si>
  <si>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</si>
  <si>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</si>
  <si>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</si>
  <si>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</si>
  <si>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</si>
  <si>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</si>
  <si>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</si>
  <si>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</si>
  <si>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</si>
  <si>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</si>
  <si>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</si>
  <si>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</si>
  <si>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</si>
  <si>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</si>
  <si>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</si>
  <si>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</si>
  <si>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</si>
  <si>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</si>
  <si>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</si>
  <si>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</si>
  <si>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</si>
  <si>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</si>
  <si>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</si>
  <si>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</si>
  <si>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</si>
  <si>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</si>
  <si>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Vendo 1</t>
  </si>
  <si>
    <t>Order Date</t>
  </si>
  <si>
    <t>Arrived</t>
  </si>
  <si>
    <t>Unit Price</t>
  </si>
  <si>
    <t>Quantity Ordered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</si>
  <si>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</si>
  <si>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</si>
  <si>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</si>
  <si>
    <t>This part is no longer being manufactured.</t>
  </si>
  <si>
    <t xml:space="preserve">https://www.weylan-d.com/comListSearch?goodsModel=ADXL326BCPZ-RL7&amp;fuzzy=true </t>
  </si>
  <si>
    <t>Vendor 4</t>
  </si>
  <si>
    <t>No Longer Manufactured</t>
  </si>
  <si>
    <t>Use Asif's</t>
  </si>
  <si>
    <t>See if you can find a similar one</t>
  </si>
  <si>
    <t xml:space="preserve">https://www.mouser.com/ProductDetail/Analog-Devices/ADXL326BCPZ-RL7?qs=WIvQP4zGanhGLfyCrKqf%252Bw%3D%3D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</si>
</sst>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1" applyFont="1" applyAlignment="1">
      <alignment horizontal="left"/>
    </xf>
    <xf numFmtId="8" fontId="0" fillId="0" borderId="0" xfId="0" applyNumberFormat="1"/>
    <xf numFmtId="8" fontId="7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/>
    <xf numFmtId="0" fontId="6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26" Type="http://schemas.openxmlformats.org/officeDocument/2006/relationships/hyperlink" Target="https://www.zaikostore.com/zaikostore/en/stockList?stockSearchNew=1&amp;headerSearch=1&amp;productName_forFind=ADXL326BCPZ-RL7&amp;typeStock_forFind=all&amp;viewCount=50&amp;pageNumber=1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5" Type="http://schemas.openxmlformats.org/officeDocument/2006/relationships/hyperlink" Target="https://www.weylan-d.com/comListSearch?goodsModel=ADXL326BCPZ-RL7&amp;fuzzy=true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24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Relationship Id="rId27" Type="http://schemas.openxmlformats.org/officeDocument/2006/relationships/hyperlink" Target="https://www.mouser.com/ProductDetail/Analog-Devices/ADXL326BCPZ-RL7?qs=WIvQP4zGanhGLfyCrKqf%252B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tabSelected="1" zoomScale="125" zoomScaleNormal="125" workbookViewId="0">
      <selection activeCell="I2" sqref="I2"/>
    </sheetView>
  </sheetViews>
  <sheetFormatPr baseColWidth="10" defaultColWidth="11.5" defaultRowHeight="15" x14ac:dyDescent="0.2"/>
  <cols>
    <col min="1" max="1" width="9.83203125" bestFit="1" customWidth="1"/>
    <col min="2" max="2" width="24.83203125" bestFit="1" customWidth="1"/>
    <col min="3" max="3" width="22.5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42.5" customWidth="1"/>
    <col min="9" max="9" width="51.83203125" customWidth="1"/>
    <col min="10" max="10" width="29.1640625" customWidth="1"/>
  </cols>
  <sheetData>
    <row r="1" spans="1:13" s="1" customFormat="1" x14ac:dyDescent="0.2">
      <c r="A1" s="1" t="s">
        <v>116</v>
      </c>
      <c r="B1" s="1" t="s">
        <v>117</v>
      </c>
      <c r="C1" s="1" t="s">
        <v>122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123</v>
      </c>
      <c r="I1" s="1" t="s">
        <v>152</v>
      </c>
      <c r="J1" s="1" t="s">
        <v>124</v>
      </c>
      <c r="K1" s="1" t="s">
        <v>149</v>
      </c>
      <c r="L1" s="1" t="s">
        <v>162</v>
      </c>
    </row>
    <row r="2" spans="1:13" x14ac:dyDescent="0.2">
      <c r="A2" t="s">
        <v>137</v>
      </c>
      <c r="B2" s="3" t="s">
        <v>63</v>
      </c>
      <c r="C2" s="19" t="s">
        <v>65</v>
      </c>
      <c r="D2">
        <v>1</v>
      </c>
      <c r="E2" s="13">
        <v>3</v>
      </c>
      <c r="F2" s="14">
        <v>4.16</v>
      </c>
      <c r="G2" s="14">
        <f>E2*F2</f>
        <v>12.48</v>
      </c>
      <c r="I2" s="9" t="s">
        <v>67</v>
      </c>
      <c r="J2" t="s">
        <v>106</v>
      </c>
      <c r="K2" t="s">
        <v>106</v>
      </c>
    </row>
    <row r="3" spans="1:13" x14ac:dyDescent="0.2">
      <c r="A3" t="s">
        <v>138</v>
      </c>
      <c r="B3" s="3" t="s">
        <v>10</v>
      </c>
      <c r="C3" s="3" t="s">
        <v>104</v>
      </c>
      <c r="D3">
        <v>1</v>
      </c>
      <c r="E3" s="13">
        <v>3</v>
      </c>
      <c r="F3" s="15">
        <v>0.57999999999999996</v>
      </c>
      <c r="G3" s="15">
        <f>E3*F3</f>
        <v>1.7399999999999998</v>
      </c>
      <c r="I3" s="9" t="s">
        <v>14</v>
      </c>
      <c r="J3" t="s">
        <v>106</v>
      </c>
      <c r="K3" t="s">
        <v>106</v>
      </c>
    </row>
    <row r="4" spans="1:13" x14ac:dyDescent="0.2">
      <c r="A4" t="s">
        <v>139</v>
      </c>
      <c r="B4" s="3" t="s">
        <v>15</v>
      </c>
      <c r="C4" s="3" t="s">
        <v>89</v>
      </c>
      <c r="D4">
        <v>1</v>
      </c>
      <c r="E4" s="13">
        <v>3</v>
      </c>
      <c r="F4" s="14">
        <v>7.01</v>
      </c>
      <c r="G4" s="14">
        <f t="shared" ref="G4:G20" si="0">E4*F4</f>
        <v>21.03</v>
      </c>
      <c r="I4" s="9" t="s">
        <v>91</v>
      </c>
      <c r="J4" s="8" t="s">
        <v>166</v>
      </c>
      <c r="K4" s="8" t="s">
        <v>148</v>
      </c>
      <c r="L4" s="8" t="s">
        <v>161</v>
      </c>
      <c r="M4" s="8" t="s">
        <v>106</v>
      </c>
    </row>
    <row r="5" spans="1:13" x14ac:dyDescent="0.2">
      <c r="A5" t="s">
        <v>140</v>
      </c>
      <c r="B5" s="3" t="s">
        <v>19</v>
      </c>
      <c r="C5" s="3" t="s">
        <v>93</v>
      </c>
      <c r="D5">
        <v>1</v>
      </c>
      <c r="E5" s="13">
        <v>3</v>
      </c>
      <c r="F5" s="15">
        <v>0.75770000000000004</v>
      </c>
      <c r="G5" s="15">
        <f t="shared" si="0"/>
        <v>2.2731000000000003</v>
      </c>
      <c r="H5" t="s">
        <v>160</v>
      </c>
      <c r="I5" s="9" t="s">
        <v>111</v>
      </c>
      <c r="J5" s="8" t="s">
        <v>126</v>
      </c>
      <c r="K5" s="8" t="s">
        <v>150</v>
      </c>
      <c r="L5" s="8" t="s">
        <v>158</v>
      </c>
      <c r="M5" t="s">
        <v>106</v>
      </c>
    </row>
    <row r="6" spans="1:13" x14ac:dyDescent="0.2">
      <c r="A6" t="s">
        <v>141</v>
      </c>
      <c r="B6" s="3" t="s">
        <v>24</v>
      </c>
      <c r="C6" s="3" t="s">
        <v>127</v>
      </c>
      <c r="D6">
        <v>1</v>
      </c>
      <c r="E6" s="13">
        <v>3</v>
      </c>
      <c r="F6" s="15">
        <v>1.28</v>
      </c>
      <c r="G6" s="14">
        <f t="shared" si="0"/>
        <v>3.84</v>
      </c>
      <c r="I6" s="9" t="s">
        <v>112</v>
      </c>
      <c r="J6" t="s">
        <v>106</v>
      </c>
      <c r="K6" t="s">
        <v>106</v>
      </c>
    </row>
    <row r="7" spans="1:13" x14ac:dyDescent="0.2">
      <c r="A7" t="s">
        <v>145</v>
      </c>
      <c r="B7" s="11" t="s">
        <v>105</v>
      </c>
      <c r="C7" s="3">
        <v>9749</v>
      </c>
      <c r="D7">
        <v>1</v>
      </c>
      <c r="E7" s="13">
        <v>5</v>
      </c>
      <c r="F7" s="14">
        <v>1.1000000000000001</v>
      </c>
      <c r="G7" s="15">
        <f t="shared" si="0"/>
        <v>5.5</v>
      </c>
      <c r="I7" s="9" t="s">
        <v>159</v>
      </c>
      <c r="J7" s="8" t="s">
        <v>106</v>
      </c>
      <c r="K7" s="16" t="s">
        <v>106</v>
      </c>
    </row>
    <row r="8" spans="1:13" x14ac:dyDescent="0.2">
      <c r="A8" t="s">
        <v>146</v>
      </c>
      <c r="B8" s="3" t="s">
        <v>128</v>
      </c>
      <c r="C8" s="3" t="s">
        <v>110</v>
      </c>
      <c r="D8">
        <v>1</v>
      </c>
      <c r="E8" s="13">
        <v>5</v>
      </c>
      <c r="F8" s="14">
        <v>1.06</v>
      </c>
      <c r="G8" s="14">
        <f t="shared" si="0"/>
        <v>5.3000000000000007</v>
      </c>
      <c r="I8" s="9" t="s">
        <v>109</v>
      </c>
      <c r="J8" t="s">
        <v>106</v>
      </c>
      <c r="K8" s="16" t="s">
        <v>106</v>
      </c>
    </row>
    <row r="9" spans="1:13" x14ac:dyDescent="0.2">
      <c r="A9" t="s">
        <v>142</v>
      </c>
      <c r="B9" s="3" t="s">
        <v>29</v>
      </c>
      <c r="C9" s="3">
        <v>3000</v>
      </c>
      <c r="D9">
        <v>1</v>
      </c>
      <c r="E9" s="13">
        <v>3</v>
      </c>
      <c r="F9" s="14">
        <v>0.4</v>
      </c>
      <c r="G9" s="15">
        <f t="shared" si="0"/>
        <v>1.2000000000000002</v>
      </c>
      <c r="I9" s="9" t="s">
        <v>113</v>
      </c>
      <c r="J9" t="s">
        <v>106</v>
      </c>
      <c r="K9" s="16" t="s">
        <v>106</v>
      </c>
    </row>
    <row r="10" spans="1:13" x14ac:dyDescent="0.2">
      <c r="A10" t="s">
        <v>143</v>
      </c>
      <c r="B10" s="3" t="s">
        <v>33</v>
      </c>
      <c r="C10" s="3">
        <v>11574</v>
      </c>
      <c r="D10">
        <v>1</v>
      </c>
      <c r="E10" s="13">
        <v>2</v>
      </c>
      <c r="F10" s="14">
        <v>31.88</v>
      </c>
      <c r="G10" s="14">
        <f t="shared" si="0"/>
        <v>63.76</v>
      </c>
      <c r="I10" s="9" t="s">
        <v>36</v>
      </c>
      <c r="J10" t="s">
        <v>106</v>
      </c>
      <c r="K10" s="16" t="s">
        <v>106</v>
      </c>
    </row>
    <row r="11" spans="1:13" x14ac:dyDescent="0.2">
      <c r="A11" t="s">
        <v>147</v>
      </c>
      <c r="B11" s="3" t="s">
        <v>37</v>
      </c>
      <c r="C11" s="3">
        <v>1660</v>
      </c>
      <c r="D11">
        <v>1</v>
      </c>
      <c r="E11" s="13">
        <v>3</v>
      </c>
      <c r="F11" s="14">
        <v>1.95</v>
      </c>
      <c r="G11" s="15">
        <f t="shared" si="0"/>
        <v>5.85</v>
      </c>
      <c r="I11" s="9" t="s">
        <v>114</v>
      </c>
      <c r="J11" s="8" t="s">
        <v>157</v>
      </c>
      <c r="K11" s="8" t="s">
        <v>106</v>
      </c>
      <c r="L11" t="s">
        <v>106</v>
      </c>
    </row>
    <row r="12" spans="1:13" x14ac:dyDescent="0.2">
      <c r="A12" t="s">
        <v>146</v>
      </c>
      <c r="B12" s="3" t="s">
        <v>40</v>
      </c>
      <c r="C12" s="3">
        <v>3814</v>
      </c>
      <c r="D12">
        <v>1</v>
      </c>
      <c r="E12" s="13">
        <v>0</v>
      </c>
      <c r="F12" s="14">
        <v>0.75</v>
      </c>
      <c r="G12" s="14">
        <f t="shared" si="0"/>
        <v>0</v>
      </c>
      <c r="I12" s="9" t="s">
        <v>41</v>
      </c>
      <c r="J12" t="s">
        <v>106</v>
      </c>
      <c r="K12" s="16" t="s">
        <v>106</v>
      </c>
    </row>
    <row r="13" spans="1:13" x14ac:dyDescent="0.2">
      <c r="A13" t="s">
        <v>144</v>
      </c>
      <c r="B13" s="3" t="s">
        <v>70</v>
      </c>
      <c r="C13" s="3">
        <v>1050170001</v>
      </c>
      <c r="D13">
        <v>1</v>
      </c>
      <c r="E13" s="13">
        <v>3</v>
      </c>
      <c r="F13" s="14">
        <v>0.92</v>
      </c>
      <c r="G13" s="15">
        <f t="shared" si="0"/>
        <v>2.7600000000000002</v>
      </c>
      <c r="I13" s="9" t="s">
        <v>115</v>
      </c>
      <c r="J13" t="s">
        <v>106</v>
      </c>
      <c r="K13" s="16" t="s">
        <v>106</v>
      </c>
    </row>
    <row r="14" spans="1:13" x14ac:dyDescent="0.2">
      <c r="A14" t="s">
        <v>131</v>
      </c>
      <c r="B14" s="3" t="s">
        <v>125</v>
      </c>
      <c r="C14" s="3" t="s">
        <v>74</v>
      </c>
      <c r="D14">
        <v>3</v>
      </c>
      <c r="E14" s="13">
        <v>10</v>
      </c>
      <c r="F14" s="14">
        <v>2.1000000000000001E-2</v>
      </c>
      <c r="G14" s="14">
        <f t="shared" si="0"/>
        <v>0.21000000000000002</v>
      </c>
      <c r="I14" s="9" t="s">
        <v>75</v>
      </c>
      <c r="J14" t="s">
        <v>106</v>
      </c>
      <c r="K14" s="16" t="s">
        <v>106</v>
      </c>
    </row>
    <row r="15" spans="1:13" x14ac:dyDescent="0.2">
      <c r="A15" t="s">
        <v>132</v>
      </c>
      <c r="B15" s="3" t="s">
        <v>81</v>
      </c>
      <c r="C15" s="3" t="s">
        <v>82</v>
      </c>
      <c r="D15">
        <v>1</v>
      </c>
      <c r="E15" s="13">
        <v>10</v>
      </c>
      <c r="F15" s="14">
        <v>0.03</v>
      </c>
      <c r="G15" s="15">
        <f t="shared" si="0"/>
        <v>0.3</v>
      </c>
      <c r="I15" s="9" t="s">
        <v>83</v>
      </c>
      <c r="J15" t="s">
        <v>106</v>
      </c>
    </row>
    <row r="16" spans="1:13" x14ac:dyDescent="0.2">
      <c r="A16" t="s">
        <v>133</v>
      </c>
      <c r="B16" s="3" t="s">
        <v>55</v>
      </c>
      <c r="C16" s="3" t="s">
        <v>57</v>
      </c>
      <c r="D16">
        <v>3</v>
      </c>
      <c r="E16" s="13">
        <v>10</v>
      </c>
      <c r="F16" s="14">
        <v>3.6999999999999998E-2</v>
      </c>
      <c r="G16" s="14">
        <f t="shared" si="0"/>
        <v>0.37</v>
      </c>
      <c r="I16" s="9" t="s">
        <v>58</v>
      </c>
      <c r="J16" t="s">
        <v>106</v>
      </c>
      <c r="K16" s="16" t="s">
        <v>106</v>
      </c>
    </row>
    <row r="17" spans="1:11" x14ac:dyDescent="0.2">
      <c r="A17" t="s">
        <v>134</v>
      </c>
      <c r="B17" s="3" t="s">
        <v>85</v>
      </c>
      <c r="C17" s="3" t="s">
        <v>129</v>
      </c>
      <c r="D17">
        <v>2</v>
      </c>
      <c r="E17" s="13">
        <v>10</v>
      </c>
      <c r="F17" s="14">
        <v>7.1999999999999995E-2</v>
      </c>
      <c r="G17" s="15">
        <f t="shared" si="0"/>
        <v>0.72</v>
      </c>
      <c r="I17" s="9" t="s">
        <v>88</v>
      </c>
      <c r="J17" t="s">
        <v>106</v>
      </c>
      <c r="K17" s="16" t="s">
        <v>106</v>
      </c>
    </row>
    <row r="18" spans="1:11" x14ac:dyDescent="0.2">
      <c r="A18" t="s">
        <v>135</v>
      </c>
      <c r="B18" s="3" t="s">
        <v>98</v>
      </c>
      <c r="C18" s="3" t="s">
        <v>99</v>
      </c>
      <c r="D18">
        <v>1</v>
      </c>
      <c r="E18" s="13">
        <v>10</v>
      </c>
      <c r="F18" s="14">
        <v>0.28499999999999998</v>
      </c>
      <c r="G18" s="14">
        <f t="shared" si="0"/>
        <v>2.8499999999999996</v>
      </c>
      <c r="I18" s="9" t="s">
        <v>100</v>
      </c>
      <c r="J18" t="s">
        <v>106</v>
      </c>
      <c r="K18" s="16" t="s">
        <v>106</v>
      </c>
    </row>
    <row r="19" spans="1:11" x14ac:dyDescent="0.2">
      <c r="A19" t="s">
        <v>136</v>
      </c>
      <c r="B19" s="3" t="s">
        <v>101</v>
      </c>
      <c r="C19" s="3" t="s">
        <v>102</v>
      </c>
      <c r="D19">
        <v>2</v>
      </c>
      <c r="E19" s="13">
        <v>10</v>
      </c>
      <c r="F19" s="14">
        <v>3.4000000000000002E-2</v>
      </c>
      <c r="G19" s="15">
        <f t="shared" si="0"/>
        <v>0.34</v>
      </c>
      <c r="I19" s="9" t="s">
        <v>103</v>
      </c>
      <c r="J19" t="s">
        <v>106</v>
      </c>
      <c r="K19" s="16" t="s">
        <v>106</v>
      </c>
    </row>
    <row r="20" spans="1:11" x14ac:dyDescent="0.2">
      <c r="A20" t="s">
        <v>136</v>
      </c>
      <c r="B20" s="3" t="s">
        <v>107</v>
      </c>
      <c r="C20" s="3" t="s">
        <v>130</v>
      </c>
      <c r="D20">
        <v>2</v>
      </c>
      <c r="E20" s="12">
        <v>10</v>
      </c>
      <c r="F20" s="14">
        <v>2.5000000000000001E-2</v>
      </c>
      <c r="G20" s="14">
        <f t="shared" si="0"/>
        <v>0.25</v>
      </c>
      <c r="I20" s="9" t="s">
        <v>108</v>
      </c>
      <c r="J20" t="s">
        <v>106</v>
      </c>
      <c r="K20" s="16" t="s">
        <v>106</v>
      </c>
    </row>
    <row r="21" spans="1:11" x14ac:dyDescent="0.2">
      <c r="F21" t="s">
        <v>151</v>
      </c>
      <c r="G21" s="14">
        <f>SUM(G2:G20)</f>
        <v>130.7731</v>
      </c>
      <c r="K21" s="16" t="s">
        <v>106</v>
      </c>
    </row>
    <row r="22" spans="1:11" x14ac:dyDescent="0.2">
      <c r="K22" s="16" t="s">
        <v>106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K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  <hyperlink ref="I7" r:id="rId24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8E6B9D1-8FD5-4BD0-9D16-E895003F13EA}"/>
    <hyperlink ref="L4" r:id="rId25" xr:uid="{508B8156-9D2F-6249-BB5C-D0A959FBE006}"/>
    <hyperlink ref="M4" r:id="rId26" display="https://www.zaikostore.com/zaikostore/en/stockList?stockSearchNew=1&amp;headerSearch=1&amp;productName_forFind=ADXL326BCPZ-RL7&amp;typeStock_forFind=all&amp;viewCount=50&amp;pageNumber=1 " xr:uid="{D33CF85D-01E0-D843-A4B2-A14D38CB6E0C}"/>
    <hyperlink ref="J4" r:id="rId27" xr:uid="{CE5A7F74-3DE2-F143-BF0D-FFE8B674DC52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H19"/>
  <sheetViews>
    <sheetView zoomScale="125" zoomScaleNormal="125" workbookViewId="0">
      <selection activeCell="C5" sqref="C5"/>
    </sheetView>
  </sheetViews>
  <sheetFormatPr baseColWidth="10" defaultColWidth="11.5" defaultRowHeight="15" x14ac:dyDescent="0.2"/>
  <cols>
    <col min="1" max="1" width="20.5" bestFit="1" customWidth="1"/>
    <col min="4" max="4" width="15.1640625" bestFit="1" customWidth="1"/>
  </cols>
  <sheetData>
    <row r="1" spans="1:8" s="1" customFormat="1" x14ac:dyDescent="0.2">
      <c r="A1" s="1" t="s">
        <v>117</v>
      </c>
      <c r="B1" s="1" t="s">
        <v>59</v>
      </c>
      <c r="C1" s="1" t="s">
        <v>153</v>
      </c>
      <c r="D1" s="1" t="s">
        <v>156</v>
      </c>
      <c r="E1" s="1" t="s">
        <v>154</v>
      </c>
      <c r="F1" s="1" t="s">
        <v>155</v>
      </c>
      <c r="H1" s="1" t="s">
        <v>123</v>
      </c>
    </row>
    <row r="2" spans="1:8" x14ac:dyDescent="0.2">
      <c r="A2" s="3" t="s">
        <v>63</v>
      </c>
      <c r="B2" s="17" t="b">
        <v>1</v>
      </c>
      <c r="C2" s="18">
        <v>46160</v>
      </c>
      <c r="D2">
        <v>1</v>
      </c>
      <c r="E2" s="17" t="b">
        <v>1</v>
      </c>
      <c r="F2" s="14">
        <v>4.16</v>
      </c>
    </row>
    <row r="3" spans="1:8" x14ac:dyDescent="0.2">
      <c r="A3" s="3" t="s">
        <v>10</v>
      </c>
      <c r="B3" s="17" t="b">
        <v>1</v>
      </c>
      <c r="C3" s="18">
        <v>46167</v>
      </c>
      <c r="E3" s="17" t="b">
        <v>1</v>
      </c>
      <c r="F3" s="15">
        <v>0.57999999999999996</v>
      </c>
    </row>
    <row r="4" spans="1:8" x14ac:dyDescent="0.2">
      <c r="A4" s="3" t="s">
        <v>15</v>
      </c>
      <c r="B4" s="17" t="b">
        <v>1</v>
      </c>
      <c r="C4" s="18">
        <v>46167</v>
      </c>
      <c r="E4" s="17" t="b">
        <v>0</v>
      </c>
      <c r="F4" s="14">
        <v>20</v>
      </c>
      <c r="H4" t="s">
        <v>165</v>
      </c>
    </row>
    <row r="5" spans="1:8" x14ac:dyDescent="0.2">
      <c r="A5" s="3" t="s">
        <v>19</v>
      </c>
      <c r="B5" s="17" t="b">
        <v>1</v>
      </c>
      <c r="C5" s="18">
        <v>46166</v>
      </c>
      <c r="E5" s="17" t="b">
        <v>0</v>
      </c>
      <c r="F5" s="15">
        <v>0.75770000000000004</v>
      </c>
      <c r="H5" t="s">
        <v>163</v>
      </c>
    </row>
    <row r="6" spans="1:8" x14ac:dyDescent="0.2">
      <c r="A6" s="3" t="s">
        <v>24</v>
      </c>
      <c r="B6" s="17" t="b">
        <v>1</v>
      </c>
      <c r="C6" s="18">
        <v>46160</v>
      </c>
      <c r="D6">
        <v>2</v>
      </c>
      <c r="E6" s="17" t="b">
        <v>1</v>
      </c>
      <c r="F6" s="15">
        <v>1.28</v>
      </c>
    </row>
    <row r="7" spans="1:8" x14ac:dyDescent="0.2">
      <c r="A7" s="11" t="s">
        <v>105</v>
      </c>
      <c r="B7" s="17" t="b">
        <v>1</v>
      </c>
      <c r="C7" s="18">
        <v>46166</v>
      </c>
      <c r="E7" s="17" t="b">
        <v>0</v>
      </c>
      <c r="F7" s="14">
        <v>1.1000000000000001</v>
      </c>
    </row>
    <row r="8" spans="1:8" x14ac:dyDescent="0.2">
      <c r="A8" s="3" t="s">
        <v>128</v>
      </c>
      <c r="B8" s="17" t="b">
        <v>1</v>
      </c>
      <c r="C8" s="18">
        <v>46166</v>
      </c>
      <c r="E8" s="17" t="b">
        <v>0</v>
      </c>
      <c r="F8" s="14">
        <v>1.06</v>
      </c>
    </row>
    <row r="9" spans="1:8" x14ac:dyDescent="0.2">
      <c r="A9" s="3" t="s">
        <v>29</v>
      </c>
      <c r="B9" s="17" t="b">
        <v>1</v>
      </c>
      <c r="C9" s="18">
        <v>46160</v>
      </c>
      <c r="D9">
        <v>1</v>
      </c>
      <c r="E9" s="17" t="b">
        <v>1</v>
      </c>
      <c r="F9" s="14">
        <v>0.4</v>
      </c>
    </row>
    <row r="10" spans="1:8" x14ac:dyDescent="0.2">
      <c r="A10" s="3" t="s">
        <v>33</v>
      </c>
      <c r="B10" s="17" t="b">
        <v>0</v>
      </c>
      <c r="E10" s="17" t="b">
        <v>1</v>
      </c>
      <c r="F10" s="14">
        <v>31.88</v>
      </c>
    </row>
    <row r="11" spans="1:8" x14ac:dyDescent="0.2">
      <c r="A11" s="3" t="s">
        <v>37</v>
      </c>
      <c r="B11" s="17" t="b">
        <v>1</v>
      </c>
      <c r="C11" s="18">
        <v>46166</v>
      </c>
      <c r="E11" s="17" t="b">
        <v>1</v>
      </c>
      <c r="F11" s="14">
        <v>1.95</v>
      </c>
      <c r="H11" t="s">
        <v>164</v>
      </c>
    </row>
    <row r="12" spans="1:8" x14ac:dyDescent="0.2">
      <c r="A12" s="3" t="s">
        <v>70</v>
      </c>
      <c r="B12" s="17" t="b">
        <v>1</v>
      </c>
      <c r="C12" s="18">
        <v>46167</v>
      </c>
      <c r="E12" s="17" t="b">
        <v>1</v>
      </c>
      <c r="F12" s="14">
        <v>0.92</v>
      </c>
    </row>
    <row r="13" spans="1:8" x14ac:dyDescent="0.2">
      <c r="A13" s="3" t="s">
        <v>125</v>
      </c>
      <c r="B13" s="17" t="b">
        <v>1</v>
      </c>
      <c r="C13" s="18">
        <v>46160</v>
      </c>
      <c r="D13">
        <v>10</v>
      </c>
      <c r="E13" s="17" t="b">
        <v>1</v>
      </c>
      <c r="F13" s="14">
        <v>2.1000000000000001E-2</v>
      </c>
    </row>
    <row r="14" spans="1:8" x14ac:dyDescent="0.2">
      <c r="A14" s="3" t="s">
        <v>81</v>
      </c>
      <c r="B14" s="17" t="b">
        <v>1</v>
      </c>
      <c r="C14" s="18">
        <v>46160</v>
      </c>
      <c r="D14">
        <v>10</v>
      </c>
      <c r="E14" s="17" t="b">
        <v>1</v>
      </c>
      <c r="F14" s="14">
        <v>0.03</v>
      </c>
    </row>
    <row r="15" spans="1:8" x14ac:dyDescent="0.2">
      <c r="A15" s="3" t="s">
        <v>55</v>
      </c>
      <c r="B15" s="17" t="b">
        <v>1</v>
      </c>
      <c r="C15" s="18">
        <v>46160</v>
      </c>
      <c r="D15">
        <v>10</v>
      </c>
      <c r="E15" s="17" t="b">
        <v>1</v>
      </c>
      <c r="F15" s="14">
        <v>3.6999999999999998E-2</v>
      </c>
    </row>
    <row r="16" spans="1:8" x14ac:dyDescent="0.2">
      <c r="A16" s="3" t="s">
        <v>85</v>
      </c>
      <c r="B16" s="17" t="b">
        <v>1</v>
      </c>
      <c r="C16" s="18">
        <v>46160</v>
      </c>
      <c r="D16">
        <v>10</v>
      </c>
      <c r="E16" s="17" t="b">
        <v>1</v>
      </c>
      <c r="F16" s="14">
        <v>7.1999999999999995E-2</v>
      </c>
    </row>
    <row r="17" spans="1:6" x14ac:dyDescent="0.2">
      <c r="A17" s="3" t="s">
        <v>98</v>
      </c>
      <c r="B17" s="17" t="b">
        <v>1</v>
      </c>
      <c r="C17" s="18">
        <v>46160</v>
      </c>
      <c r="D17">
        <v>10</v>
      </c>
      <c r="E17" s="17" t="b">
        <v>1</v>
      </c>
      <c r="F17" s="14">
        <v>0.28499999999999998</v>
      </c>
    </row>
    <row r="18" spans="1:6" x14ac:dyDescent="0.2">
      <c r="A18" s="3" t="s">
        <v>101</v>
      </c>
      <c r="B18" s="17" t="b">
        <v>1</v>
      </c>
      <c r="C18" s="18">
        <v>46160</v>
      </c>
      <c r="D18">
        <v>10</v>
      </c>
      <c r="E18" s="17" t="b">
        <v>1</v>
      </c>
      <c r="F18" s="14">
        <v>3.4000000000000002E-2</v>
      </c>
    </row>
    <row r="19" spans="1:6" x14ac:dyDescent="0.2">
      <c r="A19" s="3" t="s">
        <v>107</v>
      </c>
      <c r="B19" s="17" t="b">
        <v>1</v>
      </c>
      <c r="C19" s="18">
        <v>46160</v>
      </c>
      <c r="D19">
        <v>10</v>
      </c>
      <c r="E19" s="17" t="b">
        <v>1</v>
      </c>
      <c r="F19" s="14">
        <v>2.5000000000000001E-2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2026-06-06T01:16:23Z</dcterms:modified>
  <cp:category/>
  <cp:contentStatus/>
</cp:coreProperties>
</file>