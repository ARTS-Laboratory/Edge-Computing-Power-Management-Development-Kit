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7B173B3A-1B9E-E44A-9A65-8935D9274B29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7" r:id="rId7"/>
    <sheet name="Bill of Materials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<sst xmlns="http://schemas.openxmlformats.org/spreadsheetml/2006/main" count="728" uniqueCount="154">
  <si>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</si>
  <si>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</si>
  <si>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</si>
  <si>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</si>
  <si>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</si>
  <si>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</si>
  <si>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</si>
  <si>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</si>
  <si>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</si>
  <si>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</si>
  <si>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</si>
  <si>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</si>
  <si>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</si>
  <si>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</si>
  <si>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</si>
  <si>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</si>
  <si>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</si>
  <si>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</si>
  <si>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</si>
  <si>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</si>
  <si>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</si>
  <si>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</si>
  <si>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</si>
  <si>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</si>
  <si>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</si>
  <si>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</si>
  <si>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</si>
  <si>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</si>
  <si>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</si>
  <si>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</si>
  <si>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</si>
  <si>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</si>
  <si>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</si>
  <si>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</si>
  <si>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</si>
  <si>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</si>
  <si>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</si>
  <si>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</si>
  <si>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</si>
  <si>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</si>
  <si>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</si>
  <si>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</si>
  <si>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</si>
  <si>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</si>
  <si>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</si>
  <si>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</si>
  <si>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</si>
  <si>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</si>
  <si>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</si>
  <si>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</si>
  <si>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</si>
  <si>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</si>
  <si>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</si>
  <si>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</si>
  <si>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</si>
  <si>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</si>
  <si>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</si>
  <si>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</si>
  <si>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</si>
  <si>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</si>
  <si>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</si>
  <si>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</si>
  <si>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</si>
  <si>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</si>
  <si>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</si>
  <si>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</si>
  <si>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</si>
  <si>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</si>
  <si>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</si>
  <si>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</si>
  <si>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</si>
  <si>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</si>
  <si>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</si>
  <si>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</si>
  <si>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</si>
  <si>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</si>
  <si>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</si>
  <si>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</si>
  <si>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</si>
  <si>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</si>
  <si>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</si>
  <si>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</si>
  <si>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</si>
  <si>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</si>
  <si>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</si>
  <si>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</si>
  <si>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</si>
  <si>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</si>
  <si>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</si>
  <si>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</si>
  <si>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</si>
  <si>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</si>
  <si>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</si>
  <si>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</si>
  <si>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</si>
  <si>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</si>
  <si>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</si>
  <si>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</si>
  <si>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</si>
  <si>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Kyocera</t>
  </si>
  <si>
    <t>F930J476MAA</t>
  </si>
  <si>
    <t>https://www.digikey.com/en/products/detail/kyocera-avx/F930J476MAA/4005131</t>
  </si>
  <si>
    <t>10 kΩ resistor (0805)</t>
  </si>
  <si>
    <t>YAGEO</t>
  </si>
  <si>
    <t>RC0805FR-0710KL</t>
  </si>
  <si>
    <t>https://www.digikey.com/en/products/detail/yageo/RC0805FR-0710KL/727535</t>
  </si>
  <si>
    <t>NCP711ASN330T1G</t>
  </si>
  <si>
    <t>https://mm.digikey.com/Volume0/opasdata/d220001/medias/docus/609/CL10A475KP8NNNC_Spec.pdf</t>
  </si>
  <si>
    <t>https://datasheets.kyocera-avx.com/F93.pdf</t>
  </si>
  <si>
    <t>https://mm.digikey.com/Volume0/opasdata/d220001/medias/docus/609/CL10A105KA8NNNC_Spec.pdf</t>
  </si>
  <si>
    <t>https://yageogroup.com/content/datasheet/asset/file/PYU-RC_GROUP_51_ROHS_L</t>
  </si>
  <si>
    <t>https://www.molex.com/content/dam/molex/molex-dot-com/products/automated/en-us/salesdrawingpdf/105/105017/1050170001_sd.pdf?inline</t>
  </si>
  <si>
    <t>Right angle JST connector</t>
  </si>
  <si>
    <t>PRT-09749</t>
  </si>
  <si>
    <t>https://cdn.sparkfun.com/assets/4/d/3/e/a/JST_Right_Angle_Connector_-_Through-Hole.pdf</t>
  </si>
  <si>
    <t xml:space="preserve"> </t>
  </si>
  <si>
    <t>10 kΩ resistor (0603)</t>
  </si>
  <si>
    <t xml:space="preserve">https://www.digikey.com/en/products/detail/yageo/RC0603FR-0710KL/726880 </t>
  </si>
  <si>
    <t>Ordered (Y/N)</t>
  </si>
  <si>
    <t>Quantity to Order (total for 3 boards)</t>
  </si>
  <si>
    <t>https://www.digikey.com/en/products/detail/panasonic-energy/CR1220/269740</t>
  </si>
  <si>
    <t>Coin Cell battery (CR1220)</t>
  </si>
  <si>
    <t>Panasonic</t>
  </si>
  <si>
    <t>CR1220</t>
  </si>
  <si>
    <t>5 (no CR1220 in main lab battery drawer)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</si>
  <si>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</si>
  <si>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</si>
  <si>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Alternate Purchase Link (when not available)</t>
  </si>
  <si>
    <t>https://www.sparkfun.com/jst-right-angle-connector-through-hole-2-pin.html</t>
  </si>
  <si>
    <t>https://www.digikey.com/en/products/detail/sparkfun-electronics/09749/14671658?s=N4IgTCBcDaIAoCUAqBaADATgOwBYMgF0BfIA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</si>
  <si>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</si>
  <si>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</si>
  <si>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</si>
  <si>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</si>
  <si>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</si>
  <si>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</si>
  <si>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</si>
  <si>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</si>
  <si>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</si>
  <si>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</si>
  <si>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</si>
  <si>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</si>
  <si>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</si>
  <si>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>No CR1220 in main lab battery drawer.</t>
  </si>
  <si>
    <t>We already have LiPO batteries and connections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</si>
  <si>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</si>
  <si>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This part is no longer being manufactured. It was hard to find a vendor</t>
  </si>
  <si>
    <t>Vendo 1 (digikey)</t>
  </si>
  <si>
    <t>ABS05-32.768KHZ-6-T</t>
  </si>
  <si>
    <t xml:space="preserve">https://www.sparkfun.com/jst-right-angle-connector-through-hole-2-pin.html </t>
  </si>
  <si>
    <t>Coin Cell battery</t>
  </si>
  <si>
    <t>These are quite expensive. We already have one of these.</t>
  </si>
  <si>
    <t>C0603C220J5GACTU</t>
  </si>
  <si>
    <t>RC0603FR-0710KL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</si>
</sst>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 (Body)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0" fillId="0" borderId="0" xfId="0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1" applyFont="1" applyAlignment="1">
      <alignment horizontal="left"/>
    </xf>
    <xf numFmtId="0" fontId="7" fillId="0" borderId="0" xfId="0" applyFont="1"/>
    <xf numFmtId="8" fontId="0" fillId="0" borderId="0" xfId="0" applyNumberFormat="1"/>
    <xf numFmtId="8" fontId="0" fillId="0" borderId="0" xfId="0" applyNumberFormat="1" applyFont="1"/>
    <xf numFmtId="8" fontId="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cdn.sparkfun.com/assets/4/d/3/e/a/JST_Right_Angle_Connector_-_Through-Hole.pdf" TargetMode="External"/><Relationship Id="rId13" Type="http://schemas.openxmlformats.org/officeDocument/2006/relationships/hyperlink" Target="https://www.digikey.com/en/products/detail/samsung-electro-mechanics/CL10A105KA8NNNC/3886760" TargetMode="External"/><Relationship Id="rId18" Type="http://schemas.openxmlformats.org/officeDocument/2006/relationships/hyperlink" Target="https://www.digikey.com/en/products/detail/yageo/RC0805FR-0710KL/727535" TargetMode="External"/><Relationship Id="rId3" Type="http://schemas.openxmlformats.org/officeDocument/2006/relationships/hyperlink" Target="https://www.mouser.com/datasheet/2/302/PCF8523-3139173.pdf" TargetMode="External"/><Relationship Id="rId21" Type="http://schemas.openxmlformats.org/officeDocument/2006/relationships/hyperlink" Target="https://www.digikey.com/en/products/detail/panasonic-energy/CR1220/269740" TargetMode="External"/><Relationship Id="rId7" Type="http://schemas.openxmlformats.org/officeDocument/2006/relationships/hyperlink" Target="https://cdn-shop.adafruit.com/datasheets/15882.pdf" TargetMode="External"/><Relationship Id="rId12" Type="http://schemas.openxmlformats.org/officeDocument/2006/relationships/hyperlink" Target="https://www.digikey.com/en/products/detail/analog-devices-inc/ADXL326BCPZ-RL7/2043340" TargetMode="External"/><Relationship Id="rId17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" Type="http://schemas.openxmlformats.org/officeDocument/2006/relationships/hyperlink" Target="https://www.analog.com/media/en/technical-documentation/data-sheets/ADXL326.pdf" TargetMode="External"/><Relationship Id="rId16" Type="http://schemas.openxmlformats.org/officeDocument/2006/relationships/hyperlink" Target="https://www.digikey.com/en/products/detail/onsemi/NCP711ASN330T1G/13145350" TargetMode="External"/><Relationship Id="rId20" Type="http://schemas.openxmlformats.org/officeDocument/2006/relationships/hyperlink" Target="https://www.digikey.com/en/products/detail/yageo/RC0603FR-0710KL/726880" TargetMode="External"/><Relationship Id="rId1" Type="http://schemas.openxmlformats.org/officeDocument/2006/relationships/hyperlink" Target="https://www.onsemi.com/pdf/datasheet/ncp711-d.pdf" TargetMode="External"/><Relationship Id="rId6" Type="http://schemas.openxmlformats.org/officeDocument/2006/relationships/hyperlink" Target="https://ww1.microchip.com/downloads/en/DeviceDoc/SAM-D21-DA1-Family-Data-Sheet-DS40001882H.pdf" TargetMode="External"/><Relationship Id="rId11" Type="http://schemas.openxmlformats.org/officeDocument/2006/relationships/hyperlink" Target="https://www.digikey.com/en/products/detail/adafruit-industries-llc/3814/9380221" TargetMode="External"/><Relationship Id="rId24" Type="http://schemas.openxmlformats.org/officeDocument/2006/relationships/hyperlink" Target="https://www.digikey.com/en/products/detail/molex/1050170001/2350832?s=N4IgTCBcDaIIwAYCsC4HYC0DtxAXQF8g" TargetMode="External"/><Relationship Id="rId5" Type="http://schemas.openxmlformats.org/officeDocument/2006/relationships/hyperlink" Target="https://cdn.shopify.com/s/files/1/0100/6632/files/Pulse_Sensor_Data_Sheet.pdf?14358792549038671331" TargetMode="External"/><Relationship Id="rId15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23" Type="http://schemas.openxmlformats.org/officeDocument/2006/relationships/hyperlink" Target="https://www.adafruit.com/product/1660?gclid=Cj0KCQjwmZejBhC_ARIsAGhCqncZjaQhr-LefIBRFMpgePNAJfdB3pbIjjmWm3j-9NXz6HtUKvtc2xUaAlBuEALw_wcB" TargetMode="External"/><Relationship Id="rId10" Type="http://schemas.openxmlformats.org/officeDocument/2006/relationships/hyperlink" Target="https://www.digikey.com/en/products/detail/kemet/C0603C220J5GAC7867/411055" TargetMode="External"/><Relationship Id="rId19" Type="http://schemas.openxmlformats.org/officeDocument/2006/relationships/hyperlink" Target="https://www.digikey.com/en/products/detail/kyocera-avx/F930J476MAA/4005131" TargetMode="External"/><Relationship Id="rId4" Type="http://schemas.openxmlformats.org/officeDocument/2006/relationships/hyperlink" Target="https://www.mouser.com/datasheet/2/3/ABS05-2584975.pdf" TargetMode="External"/><Relationship Id="rId9" Type="http://schemas.openxmlformats.org/officeDocument/2006/relationships/hyperlink" Target="https://www.digikey.com/en/products/detail/microchip-technology/ATSAMD21G18A-AU/5056473" TargetMode="External"/><Relationship Id="rId14" Type="http://schemas.openxmlformats.org/officeDocument/2006/relationships/hyperlink" Target="https://www.digikey.com/en/products/detail/samsung-electro-mechanics/CL10B104KB8NNWC/3887593" TargetMode="External"/><Relationship Id="rId22" Type="http://schemas.openxmlformats.org/officeDocument/2006/relationships/hyperlink" Target="https://www.sparkfun.com/jst-right-angle-connector-through-hole-2-pin.html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nsemi/NCP711ASN330T1G/13145350" TargetMode="External"/><Relationship Id="rId13" Type="http://schemas.openxmlformats.org/officeDocument/2006/relationships/hyperlink" Target="https://www.digikey.com/en/products/detail/panasonic-energy/CR1220/269740" TargetMode="External"/><Relationship Id="rId18" Type="http://schemas.openxmlformats.org/officeDocument/2006/relationships/hyperlink" Target="https://www.digikey.com/en/products/detail/sparkfun-electronics/09749/14671658?s=N4IgTCBcDaIAoCUAqBaADATgOwBYMgF0BfIA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digikey.com/en/products/detail/adafruit-industries-llc/1660/13996127?s=N4IgTCBcDaIIwDYEAYAEBZAlgYwE4HsBlAERAF0BfIA" TargetMode="External"/><Relationship Id="rId7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2" Type="http://schemas.openxmlformats.org/officeDocument/2006/relationships/hyperlink" Target="https://www.digikey.com/en/products/detail/yageo/RC0603FR-0710KL/726880" TargetMode="External"/><Relationship Id="rId17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0" Type="http://schemas.openxmlformats.org/officeDocument/2006/relationships/hyperlink" Target="https://www.digikey.com/en/products/detail/keystone-electronics/3000/227440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B104KB8NNWC/3887593" TargetMode="External"/><Relationship Id="rId11" Type="http://schemas.openxmlformats.org/officeDocument/2006/relationships/hyperlink" Target="https://www.digikey.com/en/products/detail/kyocera-avx/F930J476MAA/4005131" TargetMode="External"/><Relationship Id="rId5" Type="http://schemas.openxmlformats.org/officeDocument/2006/relationships/hyperlink" Target="https://www.digikey.com/en/products/detail/samsung-electro-mechanics/CL10A105KA8NNNC/3886760" TargetMode="External"/><Relationship Id="rId15" Type="http://schemas.openxmlformats.org/officeDocument/2006/relationships/hyperlink" Target="https://www.digikey.com/en/products/detail/nxp-usa-inc/PCF8523T-1-118/2530422?s=N4IgTCBcDaIAoGEBiAOArGAzAFQPQEYAaffFEAXQF8g" TargetMode="External"/><Relationship Id="rId10" Type="http://schemas.openxmlformats.org/officeDocument/2006/relationships/hyperlink" Target="https://www.digikey.com/en/products/detail/yageo/RC0805FR-0710KL/727535" TargetMode="External"/><Relationship Id="rId19" Type="http://schemas.openxmlformats.org/officeDocument/2006/relationships/hyperlink" Target="https://www.sparkfun.com/jst-right-angle-connector-through-hole-2-pin.html" TargetMode="External"/><Relationship Id="rId4" Type="http://schemas.openxmlformats.org/officeDocument/2006/relationships/hyperlink" Target="https://www.digikey.com/en/products/detail/analog-devices-inc/ADXL326BCPZ-RL7/2043340" TargetMode="External"/><Relationship Id="rId9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4" Type="http://schemas.openxmlformats.org/officeDocument/2006/relationships/hyperlink" Target="https://www.digikey.com/en/products/detail/molex/1050170001/2350832?s=N4IgTCBcDaIIwAYCsC4HYC0Dtx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D354-F000-43EA-9051-5CE410C07359}">
  <dimension ref="A1:I22"/>
  <sheetViews>
    <sheetView topLeftCell="B1" zoomScale="150" zoomScaleNormal="150" workbookViewId="0">
      <selection activeCell="E7" sqref="E7"/>
    </sheetView>
  </sheetViews>
  <sheetFormatPr baseColWidth="10" defaultColWidth="8.83203125" defaultRowHeight="15" x14ac:dyDescent="0.2"/>
  <cols>
    <col min="2" max="2" width="28.5" bestFit="1" customWidth="1"/>
    <col min="3" max="3" width="28.1640625" customWidth="1"/>
    <col min="4" max="4" width="33.5" bestFit="1" customWidth="1"/>
    <col min="5" max="5" width="36.6640625" bestFit="1" customWidth="1"/>
    <col min="6" max="6" width="28.1640625" customWidth="1"/>
    <col min="7" max="7" width="26.33203125" customWidth="1"/>
    <col min="8" max="8" width="21.1640625" customWidth="1"/>
    <col min="9" max="9" width="25.6640625" customWidth="1"/>
  </cols>
  <sheetData>
    <row r="1" spans="1:9" x14ac:dyDescent="0.2">
      <c r="A1" s="3"/>
      <c r="B1" s="2" t="s">
        <v>0</v>
      </c>
      <c r="C1" s="2" t="s">
        <v>4</v>
      </c>
      <c r="D1" s="2" t="s">
        <v>119</v>
      </c>
      <c r="E1" s="2" t="s">
        <v>127</v>
      </c>
      <c r="F1" s="2" t="s">
        <v>118</v>
      </c>
      <c r="G1" s="2" t="s">
        <v>1</v>
      </c>
      <c r="H1" s="2" t="s">
        <v>2</v>
      </c>
      <c r="I1" s="2" t="s">
        <v>3</v>
      </c>
    </row>
    <row r="2" spans="1:9" x14ac:dyDescent="0.2">
      <c r="A2" s="11" t="b">
        <v>0</v>
      </c>
      <c r="B2" s="3" t="s">
        <v>63</v>
      </c>
      <c r="C2" s="9" t="s">
        <v>67</v>
      </c>
      <c r="D2" s="16">
        <v>3</v>
      </c>
      <c r="E2" s="16"/>
      <c r="F2" s="16"/>
      <c r="G2" s="3" t="s">
        <v>64</v>
      </c>
      <c r="H2" s="3" t="s">
        <v>65</v>
      </c>
      <c r="I2" s="9" t="s">
        <v>66</v>
      </c>
    </row>
    <row r="3" spans="1:9" x14ac:dyDescent="0.2">
      <c r="A3" s="11" t="b">
        <v>0</v>
      </c>
      <c r="B3" s="3" t="s">
        <v>10</v>
      </c>
      <c r="C3" s="9" t="s">
        <v>14</v>
      </c>
      <c r="D3" s="16">
        <v>3</v>
      </c>
      <c r="E3" s="16"/>
      <c r="F3" s="16"/>
      <c r="G3" s="3" t="s">
        <v>11</v>
      </c>
      <c r="H3" s="3" t="s">
        <v>106</v>
      </c>
      <c r="I3" s="9" t="s">
        <v>13</v>
      </c>
    </row>
    <row r="4" spans="1:9" x14ac:dyDescent="0.2">
      <c r="A4" s="11" t="b">
        <v>0</v>
      </c>
      <c r="B4" s="3" t="s">
        <v>15</v>
      </c>
      <c r="C4" s="9" t="s">
        <v>91</v>
      </c>
      <c r="D4" s="16">
        <v>3</v>
      </c>
      <c r="E4" s="16"/>
      <c r="F4" s="16"/>
      <c r="G4" s="3" t="s">
        <v>20</v>
      </c>
      <c r="H4" s="3" t="s">
        <v>89</v>
      </c>
      <c r="I4" s="9" t="s">
        <v>90</v>
      </c>
    </row>
    <row r="5" spans="1:9" x14ac:dyDescent="0.2">
      <c r="A5" s="11" t="b">
        <v>0</v>
      </c>
      <c r="B5" s="3" t="s">
        <v>19</v>
      </c>
      <c r="C5" s="9" t="s">
        <v>125</v>
      </c>
      <c r="D5" s="16">
        <v>3</v>
      </c>
      <c r="E5" s="16"/>
      <c r="F5" s="16"/>
      <c r="G5" s="3" t="s">
        <v>92</v>
      </c>
      <c r="H5" s="3" t="s">
        <v>93</v>
      </c>
      <c r="I5" s="9" t="s">
        <v>94</v>
      </c>
    </row>
    <row r="6" spans="1:9" x14ac:dyDescent="0.2">
      <c r="A6" s="11" t="b">
        <v>0</v>
      </c>
      <c r="B6" s="3" t="s">
        <v>24</v>
      </c>
      <c r="C6" s="9" t="s">
        <v>126</v>
      </c>
      <c r="D6" s="16">
        <v>3</v>
      </c>
      <c r="E6" s="16"/>
      <c r="F6" s="16"/>
      <c r="G6" s="3" t="s">
        <v>25</v>
      </c>
      <c r="H6" s="3" t="s">
        <v>26</v>
      </c>
      <c r="I6" s="9" t="s">
        <v>27</v>
      </c>
    </row>
    <row r="7" spans="1:9" x14ac:dyDescent="0.2">
      <c r="A7" s="11" t="b">
        <v>0</v>
      </c>
      <c r="B7" s="12" t="s">
        <v>112</v>
      </c>
      <c r="C7" s="9" t="s">
        <v>129</v>
      </c>
      <c r="D7" s="16">
        <v>5</v>
      </c>
      <c r="E7" s="9" t="s">
        <v>128</v>
      </c>
      <c r="F7" s="16" t="s">
        <v>115</v>
      </c>
      <c r="G7" s="3" t="s">
        <v>34</v>
      </c>
      <c r="H7" s="13" t="s">
        <v>113</v>
      </c>
      <c r="I7" s="9" t="s">
        <v>114</v>
      </c>
    </row>
    <row r="8" spans="1:9" x14ac:dyDescent="0.2">
      <c r="A8" s="11" t="b">
        <v>0</v>
      </c>
      <c r="B8" s="3" t="s">
        <v>121</v>
      </c>
      <c r="C8" s="9" t="s">
        <v>120</v>
      </c>
      <c r="D8" s="16" t="s">
        <v>124</v>
      </c>
      <c r="E8" s="16"/>
      <c r="F8" s="16"/>
      <c r="G8" s="3" t="s">
        <v>122</v>
      </c>
      <c r="H8" s="3"/>
      <c r="I8" s="9" t="s">
        <v>123</v>
      </c>
    </row>
    <row r="9" spans="1:9" x14ac:dyDescent="0.2">
      <c r="A9" s="11" t="b">
        <v>0</v>
      </c>
      <c r="B9" s="3" t="s">
        <v>29</v>
      </c>
      <c r="C9" s="9" t="s">
        <v>130</v>
      </c>
      <c r="D9" s="16">
        <v>3</v>
      </c>
      <c r="E9" s="16"/>
      <c r="F9" s="16"/>
      <c r="G9" s="3" t="s">
        <v>30</v>
      </c>
      <c r="H9" s="3">
        <v>3000</v>
      </c>
      <c r="I9" s="3" t="s">
        <v>31</v>
      </c>
    </row>
    <row r="10" spans="1:9" x14ac:dyDescent="0.2">
      <c r="A10" s="11" t="b">
        <v>0</v>
      </c>
      <c r="B10" s="3" t="s">
        <v>33</v>
      </c>
      <c r="C10" s="9" t="s">
        <v>36</v>
      </c>
      <c r="D10" s="16">
        <v>2</v>
      </c>
      <c r="E10" s="16"/>
      <c r="F10" s="16"/>
      <c r="G10" s="3" t="s">
        <v>34</v>
      </c>
      <c r="H10" s="3" t="s">
        <v>31</v>
      </c>
      <c r="I10" s="9" t="s">
        <v>35</v>
      </c>
    </row>
    <row r="11" spans="1:9" x14ac:dyDescent="0.2">
      <c r="A11" s="11" t="b">
        <v>0</v>
      </c>
      <c r="B11" s="3" t="s">
        <v>37</v>
      </c>
      <c r="C11" s="9" t="s">
        <v>131</v>
      </c>
      <c r="D11" s="16">
        <v>3</v>
      </c>
      <c r="E11" s="9" t="s">
        <v>39</v>
      </c>
      <c r="F11" s="16" t="s">
        <v>115</v>
      </c>
      <c r="G11" s="3" t="s">
        <v>38</v>
      </c>
      <c r="H11" s="3">
        <v>1660</v>
      </c>
      <c r="I11" s="9" t="s">
        <v>69</v>
      </c>
    </row>
    <row r="12" spans="1:9" x14ac:dyDescent="0.2">
      <c r="A12" s="11" t="b">
        <v>0</v>
      </c>
      <c r="B12" s="3" t="s">
        <v>40</v>
      </c>
      <c r="C12" s="9" t="s">
        <v>41</v>
      </c>
      <c r="D12" s="16">
        <v>0</v>
      </c>
      <c r="E12" s="16"/>
      <c r="F12" s="16"/>
      <c r="G12" s="3" t="s">
        <v>38</v>
      </c>
      <c r="H12" s="3">
        <v>3814</v>
      </c>
      <c r="I12" s="3" t="s">
        <v>31</v>
      </c>
    </row>
    <row r="13" spans="1:9" x14ac:dyDescent="0.2">
      <c r="A13" s="11" t="b">
        <v>0</v>
      </c>
      <c r="B13" s="3" t="s">
        <v>70</v>
      </c>
      <c r="C13" s="9" t="s">
        <v>132</v>
      </c>
      <c r="D13" s="16">
        <v>3</v>
      </c>
      <c r="E13" s="16"/>
      <c r="F13" s="16"/>
      <c r="G13" s="3" t="s">
        <v>71</v>
      </c>
      <c r="H13" s="3">
        <v>1050170001</v>
      </c>
      <c r="I13" s="3" t="s">
        <v>111</v>
      </c>
    </row>
    <row r="14" spans="1:9" x14ac:dyDescent="0.2">
      <c r="A14" s="11" t="b">
        <v>0</v>
      </c>
      <c r="B14" s="3" t="s">
        <v>73</v>
      </c>
      <c r="C14" s="9" t="s">
        <v>75</v>
      </c>
      <c r="D14" s="16">
        <v>10</v>
      </c>
      <c r="E14" s="16"/>
      <c r="F14" s="16"/>
      <c r="G14" s="3" t="s">
        <v>56</v>
      </c>
      <c r="H14" s="5" t="s">
        <v>74</v>
      </c>
      <c r="I14" s="3" t="s">
        <v>31</v>
      </c>
    </row>
    <row r="15" spans="1:9" x14ac:dyDescent="0.2">
      <c r="A15" s="11" t="b">
        <v>0</v>
      </c>
      <c r="B15" s="3" t="s">
        <v>81</v>
      </c>
      <c r="C15" s="9" t="s">
        <v>83</v>
      </c>
      <c r="D15" s="16">
        <v>10</v>
      </c>
      <c r="E15" s="16"/>
      <c r="F15" s="16"/>
      <c r="G15" s="3" t="s">
        <v>56</v>
      </c>
      <c r="H15" s="5" t="s">
        <v>82</v>
      </c>
      <c r="I15" s="3" t="s">
        <v>109</v>
      </c>
    </row>
    <row r="16" spans="1:9" x14ac:dyDescent="0.2">
      <c r="A16" s="11" t="b">
        <v>0</v>
      </c>
      <c r="B16" s="3" t="s">
        <v>55</v>
      </c>
      <c r="C16" s="9" t="s">
        <v>58</v>
      </c>
      <c r="D16" s="16">
        <v>10</v>
      </c>
      <c r="E16" s="16"/>
      <c r="F16" s="16"/>
      <c r="G16" s="3" t="s">
        <v>56</v>
      </c>
      <c r="H16" s="5" t="s">
        <v>57</v>
      </c>
      <c r="I16" s="3" t="s">
        <v>107</v>
      </c>
    </row>
    <row r="17" spans="1:9" x14ac:dyDescent="0.2">
      <c r="A17" s="11" t="b">
        <v>0</v>
      </c>
      <c r="B17" s="3" t="s">
        <v>85</v>
      </c>
      <c r="C17" s="9" t="s">
        <v>88</v>
      </c>
      <c r="D17" s="16">
        <v>10</v>
      </c>
      <c r="E17" s="16"/>
      <c r="F17" s="16"/>
      <c r="G17" s="3" t="s">
        <v>86</v>
      </c>
      <c r="H17" s="3" t="s">
        <v>87</v>
      </c>
      <c r="I17" s="3" t="s">
        <v>31</v>
      </c>
    </row>
    <row r="18" spans="1:9" x14ac:dyDescent="0.2">
      <c r="A18" s="11" t="b">
        <v>0</v>
      </c>
      <c r="B18" s="3" t="s">
        <v>98</v>
      </c>
      <c r="C18" s="9" t="s">
        <v>101</v>
      </c>
      <c r="D18" s="16">
        <v>10</v>
      </c>
      <c r="E18" s="16"/>
      <c r="F18" s="16"/>
      <c r="G18" s="3" t="s">
        <v>99</v>
      </c>
      <c r="H18" s="3" t="s">
        <v>100</v>
      </c>
      <c r="I18" s="3" t="s">
        <v>108</v>
      </c>
    </row>
    <row r="19" spans="1:9" x14ac:dyDescent="0.2">
      <c r="A19" s="11" t="b">
        <v>0</v>
      </c>
      <c r="B19" s="3" t="s">
        <v>102</v>
      </c>
      <c r="C19" s="9" t="s">
        <v>105</v>
      </c>
      <c r="D19" s="16">
        <v>10</v>
      </c>
      <c r="E19" s="16"/>
      <c r="F19" s="16"/>
      <c r="G19" s="3" t="s">
        <v>103</v>
      </c>
      <c r="H19" s="3" t="s">
        <v>104</v>
      </c>
      <c r="I19" s="3" t="s">
        <v>110</v>
      </c>
    </row>
    <row r="20" spans="1:9" x14ac:dyDescent="0.2">
      <c r="A20" s="11" t="b">
        <v>0</v>
      </c>
      <c r="B20" s="3" t="s">
        <v>116</v>
      </c>
      <c r="C20" s="9" t="s">
        <v>117</v>
      </c>
      <c r="D20" s="14">
        <v>10</v>
      </c>
      <c r="E20" s="14"/>
      <c r="F20" s="14"/>
      <c r="G20" s="3"/>
      <c r="H20" s="3"/>
      <c r="I20" s="3"/>
    </row>
    <row r="21" spans="1:9" x14ac:dyDescent="0.2">
      <c r="D21" s="15"/>
      <c r="E21" s="15"/>
    </row>
    <row r="22" spans="1:9" x14ac:dyDescent="0.2">
      <c r="D22" s="15"/>
      <c r="E22" s="15"/>
    </row>
  </sheetData>
  <hyperlinks>
    <hyperlink ref="I3" r:id="rId1" xr:uid="{31FC6B69-5789-4827-9AE6-1FDFEC130E57}"/>
    <hyperlink ref="I4" r:id="rId2" xr:uid="{E0FF750D-FB57-494B-943F-1A5E4A5542D7}"/>
    <hyperlink ref="I5" r:id="rId3" xr:uid="{021F043F-7EF2-496D-83EB-B16BE8D4F9BA}"/>
    <hyperlink ref="I6" r:id="rId4" xr:uid="{D10AA4C6-E88F-4764-95EE-C25ABD0479B7}"/>
    <hyperlink ref="I10" r:id="rId5" xr:uid="{5D0C70D4-5498-499B-865E-C60ACE6BBF8F}"/>
    <hyperlink ref="I2" r:id="rId6" xr:uid="{8A7C3480-A083-459F-8F31-B8647CE4C022}"/>
    <hyperlink ref="I11" r:id="rId7" xr:uid="{9A94D641-5AFC-49EC-9BF9-104905A660AB}"/>
    <hyperlink ref="I7" r:id="rId8" xr:uid="{43CCF304-4094-5842-9C38-8C3EAA24A372}"/>
    <hyperlink ref="C2" r:id="rId9" xr:uid="{4A284219-9C9C-8C4F-9C77-2B23FE253EF7}"/>
    <hyperlink ref="C17" r:id="rId10" xr:uid="{BBE32052-F3D2-CA4C-A6FC-CAC6CC4119AD}"/>
    <hyperlink ref="C12" r:id="rId11" xr:uid="{2F090D7A-C40F-A245-9BA3-E8029F119E8E}"/>
    <hyperlink ref="C4" r:id="rId12" xr:uid="{DFC0997F-50D3-A94A-A5D1-B4F058B1C292}"/>
    <hyperlink ref="C15" r:id="rId13" xr:uid="{1D3B6864-CCB3-034B-B689-A2E42A021B32}"/>
    <hyperlink ref="C14" r:id="rId14" xr:uid="{74EFB29F-7F3B-1541-B20E-BB8EB894C5D4}"/>
    <hyperlink ref="C10" r:id="rId15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2C80E3DB-BC28-9845-9865-6FA905F21E1F}"/>
    <hyperlink ref="C3" r:id="rId16" xr:uid="{5F04213E-9778-DC4D-BFF7-C85811648BE8}"/>
    <hyperlink ref="C16" r:id="rId17" xr:uid="{B448CE1F-BFFC-1D48-A067-54C36FA9D5B2}"/>
    <hyperlink ref="C19" r:id="rId18" xr:uid="{98CD5408-3EAF-8B46-9E9E-856A3242E323}"/>
    <hyperlink ref="C18" r:id="rId19" xr:uid="{32F13DC6-1567-A54C-8B46-F9AFE6ECD12C}"/>
    <hyperlink ref="C20" r:id="rId20" xr:uid="{EEC7EDF7-A580-E94F-A413-D9D3C1B9B083}"/>
    <hyperlink ref="C8" r:id="rId21" xr:uid="{E3F21928-8DA8-3841-8335-32FEA84720BE}"/>
    <hyperlink ref="E7" r:id="rId22" xr:uid="{CE7992D0-B119-6B4C-B345-9C25EF9FE2C3}"/>
    <hyperlink ref="E11" r:id="rId23" xr:uid="{B5C99938-5A12-5C43-B38A-88FEEC725884}"/>
    <hyperlink ref="C13" r:id="rId24" xr:uid="{0F3CB72E-BCDA-134F-BD19-312DB2E785F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K20"/>
  <sheetViews>
    <sheetView tabSelected="1" zoomScale="125" zoomScaleNormal="125" workbookViewId="0">
      <selection activeCell="H20" sqref="H20"/>
    </sheetView>
  </sheetViews>
  <sheetFormatPr baseColWidth="10" defaultRowHeight="15" x14ac:dyDescent="0.2"/>
  <cols>
    <col min="1" max="1" width="9.5" bestFit="1" customWidth="1"/>
    <col min="2" max="2" width="24.83203125" bestFit="1" customWidth="1"/>
    <col min="3" max="3" width="5.6640625" bestFit="1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54.6640625" bestFit="1" customWidth="1"/>
    <col min="9" max="9" width="51.83203125" customWidth="1"/>
  </cols>
  <sheetData>
    <row r="1" spans="1:11" s="1" customFormat="1" x14ac:dyDescent="0.2">
      <c r="A1" s="1" t="s">
        <v>133</v>
      </c>
      <c r="B1" s="1" t="s">
        <v>134</v>
      </c>
      <c r="C1" s="1" t="s">
        <v>139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140</v>
      </c>
      <c r="I1" s="1" t="s">
        <v>147</v>
      </c>
      <c r="J1" s="1" t="s">
        <v>141</v>
      </c>
      <c r="K1" s="1" t="s">
        <v>3</v>
      </c>
    </row>
    <row r="2" spans="1:11" x14ac:dyDescent="0.2">
      <c r="B2" s="3" t="s">
        <v>63</v>
      </c>
      <c r="C2" s="17" t="s">
        <v>65</v>
      </c>
      <c r="D2">
        <v>1</v>
      </c>
      <c r="E2" s="16">
        <v>3</v>
      </c>
      <c r="F2" s="18">
        <v>4.16</v>
      </c>
      <c r="G2" s="18">
        <f>E2*F2</f>
        <v>12.48</v>
      </c>
      <c r="I2" s="9" t="s">
        <v>67</v>
      </c>
      <c r="J2" t="s">
        <v>115</v>
      </c>
    </row>
    <row r="3" spans="1:11" x14ac:dyDescent="0.2">
      <c r="B3" s="3" t="s">
        <v>10</v>
      </c>
      <c r="C3" t="s">
        <v>106</v>
      </c>
      <c r="D3">
        <v>1</v>
      </c>
      <c r="E3" s="16">
        <v>3</v>
      </c>
      <c r="F3" s="20">
        <v>0.57999999999999996</v>
      </c>
      <c r="G3" s="20">
        <f>E3*F3</f>
        <v>1.7399999999999998</v>
      </c>
      <c r="I3" s="9" t="s">
        <v>14</v>
      </c>
      <c r="J3" t="s">
        <v>115</v>
      </c>
    </row>
    <row r="4" spans="1:11" x14ac:dyDescent="0.2">
      <c r="B4" s="3" t="s">
        <v>15</v>
      </c>
      <c r="C4" t="s">
        <v>89</v>
      </c>
      <c r="D4">
        <v>1</v>
      </c>
      <c r="E4" s="16">
        <v>3</v>
      </c>
      <c r="F4" s="19">
        <v>7.01</v>
      </c>
      <c r="G4" s="18">
        <f t="shared" ref="G4:G20" si="0">E4*F4</f>
        <v>21.03</v>
      </c>
      <c r="I4" s="9" t="s">
        <v>91</v>
      </c>
      <c r="J4" t="s">
        <v>115</v>
      </c>
    </row>
    <row r="5" spans="1:11" x14ac:dyDescent="0.2">
      <c r="B5" s="3" t="s">
        <v>19</v>
      </c>
      <c r="C5" t="s">
        <v>93</v>
      </c>
      <c r="D5">
        <v>1</v>
      </c>
      <c r="E5" s="16">
        <v>3</v>
      </c>
      <c r="F5" s="20">
        <v>0.75770000000000004</v>
      </c>
      <c r="G5" s="20">
        <f t="shared" si="0"/>
        <v>2.2731000000000003</v>
      </c>
      <c r="H5" t="s">
        <v>146</v>
      </c>
      <c r="I5" s="9" t="s">
        <v>125</v>
      </c>
      <c r="J5" s="8" t="s">
        <v>145</v>
      </c>
      <c r="K5" t="s">
        <v>115</v>
      </c>
    </row>
    <row r="6" spans="1:11" x14ac:dyDescent="0.2">
      <c r="B6" s="3" t="s">
        <v>24</v>
      </c>
      <c r="C6" t="s">
        <v>148</v>
      </c>
      <c r="D6">
        <v>1</v>
      </c>
      <c r="E6" s="16">
        <v>3</v>
      </c>
      <c r="F6" s="20">
        <v>1.28</v>
      </c>
      <c r="G6" s="18">
        <f t="shared" si="0"/>
        <v>3.84</v>
      </c>
      <c r="I6" s="9" t="s">
        <v>126</v>
      </c>
      <c r="J6" t="s">
        <v>115</v>
      </c>
    </row>
    <row r="7" spans="1:11" x14ac:dyDescent="0.2">
      <c r="B7" s="12" t="s">
        <v>112</v>
      </c>
      <c r="C7">
        <v>9749</v>
      </c>
      <c r="D7">
        <v>1</v>
      </c>
      <c r="E7" s="16">
        <v>5</v>
      </c>
      <c r="F7" s="19">
        <v>1.1000000000000001</v>
      </c>
      <c r="G7" s="20">
        <f t="shared" si="0"/>
        <v>5.5</v>
      </c>
      <c r="I7" s="9" t="s">
        <v>129</v>
      </c>
      <c r="J7" s="8" t="s">
        <v>149</v>
      </c>
      <c r="K7" t="s">
        <v>115</v>
      </c>
    </row>
    <row r="8" spans="1:11" x14ac:dyDescent="0.2">
      <c r="B8" s="3" t="s">
        <v>150</v>
      </c>
      <c r="C8" t="s">
        <v>123</v>
      </c>
      <c r="D8">
        <v>1</v>
      </c>
      <c r="E8" s="16">
        <v>5</v>
      </c>
      <c r="F8" s="19">
        <v>1.06</v>
      </c>
      <c r="G8" s="18">
        <f t="shared" si="0"/>
        <v>5.3000000000000007</v>
      </c>
      <c r="H8" t="s">
        <v>143</v>
      </c>
      <c r="I8" s="9" t="s">
        <v>120</v>
      </c>
      <c r="J8" t="s">
        <v>115</v>
      </c>
    </row>
    <row r="9" spans="1:11" x14ac:dyDescent="0.2">
      <c r="B9" s="3" t="s">
        <v>29</v>
      </c>
      <c r="C9">
        <v>3000</v>
      </c>
      <c r="D9">
        <v>1</v>
      </c>
      <c r="E9" s="16">
        <v>3</v>
      </c>
      <c r="F9" s="19">
        <v>0.4</v>
      </c>
      <c r="G9" s="20">
        <f t="shared" si="0"/>
        <v>1.2000000000000002</v>
      </c>
      <c r="I9" s="9" t="s">
        <v>130</v>
      </c>
      <c r="J9" t="s">
        <v>115</v>
      </c>
    </row>
    <row r="10" spans="1:11" x14ac:dyDescent="0.2">
      <c r="B10" s="3" t="s">
        <v>33</v>
      </c>
      <c r="C10">
        <v>11574</v>
      </c>
      <c r="D10">
        <v>1</v>
      </c>
      <c r="E10" s="16">
        <v>2</v>
      </c>
      <c r="F10" s="19">
        <v>31.88</v>
      </c>
      <c r="G10" s="18">
        <f t="shared" si="0"/>
        <v>63.76</v>
      </c>
      <c r="H10" t="s">
        <v>151</v>
      </c>
      <c r="I10" s="9" t="s">
        <v>36</v>
      </c>
      <c r="J10" t="s">
        <v>115</v>
      </c>
    </row>
    <row r="11" spans="1:11" x14ac:dyDescent="0.2">
      <c r="B11" s="3" t="s">
        <v>37</v>
      </c>
      <c r="C11">
        <v>1660</v>
      </c>
      <c r="D11">
        <v>1</v>
      </c>
      <c r="E11" s="16">
        <v>3</v>
      </c>
      <c r="F11" s="19">
        <v>1.95</v>
      </c>
      <c r="G11" s="20">
        <f t="shared" si="0"/>
        <v>5.85</v>
      </c>
      <c r="I11" s="9" t="s">
        <v>131</v>
      </c>
      <c r="J11" t="s">
        <v>115</v>
      </c>
    </row>
    <row r="12" spans="1:11" x14ac:dyDescent="0.2">
      <c r="B12" s="3" t="s">
        <v>40</v>
      </c>
      <c r="C12">
        <v>3814</v>
      </c>
      <c r="D12">
        <v>1</v>
      </c>
      <c r="E12" s="16">
        <v>0</v>
      </c>
      <c r="F12" s="19">
        <v>0.75</v>
      </c>
      <c r="G12" s="18">
        <f t="shared" si="0"/>
        <v>0</v>
      </c>
      <c r="H12" t="s">
        <v>144</v>
      </c>
      <c r="I12" s="9" t="s">
        <v>41</v>
      </c>
      <c r="J12" t="s">
        <v>115</v>
      </c>
    </row>
    <row r="13" spans="1:11" x14ac:dyDescent="0.2">
      <c r="B13" s="3" t="s">
        <v>70</v>
      </c>
      <c r="C13">
        <v>1050170001</v>
      </c>
      <c r="D13">
        <v>1</v>
      </c>
      <c r="E13" s="16">
        <v>3</v>
      </c>
      <c r="F13" s="19">
        <v>0.92</v>
      </c>
      <c r="G13" s="20">
        <f t="shared" si="0"/>
        <v>2.7600000000000002</v>
      </c>
      <c r="I13" s="9" t="s">
        <v>132</v>
      </c>
      <c r="J13" t="s">
        <v>115</v>
      </c>
    </row>
    <row r="14" spans="1:11" x14ac:dyDescent="0.2">
      <c r="B14" s="3" t="s">
        <v>142</v>
      </c>
      <c r="C14" t="s">
        <v>74</v>
      </c>
      <c r="D14" t="s">
        <v>115</v>
      </c>
      <c r="E14" s="16">
        <v>10</v>
      </c>
      <c r="F14" s="19">
        <v>2.1000000000000001E-2</v>
      </c>
      <c r="G14" s="18">
        <f t="shared" si="0"/>
        <v>0.21000000000000002</v>
      </c>
      <c r="I14" s="9" t="s">
        <v>75</v>
      </c>
      <c r="J14" t="s">
        <v>115</v>
      </c>
    </row>
    <row r="15" spans="1:11" x14ac:dyDescent="0.2">
      <c r="B15" s="3" t="s">
        <v>81</v>
      </c>
      <c r="C15" t="s">
        <v>82</v>
      </c>
      <c r="D15" t="s">
        <v>115</v>
      </c>
      <c r="E15" s="16">
        <v>10</v>
      </c>
      <c r="F15" s="19">
        <v>0.03</v>
      </c>
      <c r="G15" s="20">
        <f t="shared" si="0"/>
        <v>0.3</v>
      </c>
      <c r="I15" s="9" t="s">
        <v>83</v>
      </c>
      <c r="J15" t="s">
        <v>115</v>
      </c>
    </row>
    <row r="16" spans="1:11" x14ac:dyDescent="0.2">
      <c r="B16" s="3" t="s">
        <v>55</v>
      </c>
      <c r="C16" t="s">
        <v>57</v>
      </c>
      <c r="D16" t="s">
        <v>115</v>
      </c>
      <c r="E16" s="16">
        <v>10</v>
      </c>
      <c r="F16" s="19">
        <v>3.6999999999999998E-2</v>
      </c>
      <c r="G16" s="18">
        <f t="shared" si="0"/>
        <v>0.37</v>
      </c>
      <c r="I16" s="9" t="s">
        <v>58</v>
      </c>
      <c r="J16" t="s">
        <v>115</v>
      </c>
    </row>
    <row r="17" spans="2:10" x14ac:dyDescent="0.2">
      <c r="B17" s="3" t="s">
        <v>85</v>
      </c>
      <c r="C17" t="s">
        <v>152</v>
      </c>
      <c r="D17" t="s">
        <v>115</v>
      </c>
      <c r="E17" s="16">
        <v>10</v>
      </c>
      <c r="F17" s="19">
        <v>7.1999999999999995E-2</v>
      </c>
      <c r="G17" s="20">
        <f t="shared" si="0"/>
        <v>0.72</v>
      </c>
      <c r="I17" s="9" t="s">
        <v>88</v>
      </c>
      <c r="J17" t="s">
        <v>115</v>
      </c>
    </row>
    <row r="18" spans="2:10" x14ac:dyDescent="0.2">
      <c r="B18" s="3" t="s">
        <v>98</v>
      </c>
      <c r="C18" t="s">
        <v>100</v>
      </c>
      <c r="D18" t="s">
        <v>115</v>
      </c>
      <c r="E18" s="16">
        <v>10</v>
      </c>
      <c r="F18" s="19">
        <v>0.28499999999999998</v>
      </c>
      <c r="G18" s="18">
        <f t="shared" si="0"/>
        <v>2.8499999999999996</v>
      </c>
      <c r="I18" s="9" t="s">
        <v>101</v>
      </c>
      <c r="J18" t="s">
        <v>115</v>
      </c>
    </row>
    <row r="19" spans="2:10" x14ac:dyDescent="0.2">
      <c r="B19" s="3" t="s">
        <v>102</v>
      </c>
      <c r="C19" t="s">
        <v>104</v>
      </c>
      <c r="D19" t="s">
        <v>115</v>
      </c>
      <c r="E19" s="16">
        <v>10</v>
      </c>
      <c r="F19" s="19">
        <v>3.4000000000000002E-2</v>
      </c>
      <c r="G19" s="20">
        <f t="shared" si="0"/>
        <v>0.34</v>
      </c>
      <c r="I19" s="9" t="s">
        <v>105</v>
      </c>
      <c r="J19" t="s">
        <v>115</v>
      </c>
    </row>
    <row r="20" spans="2:10" x14ac:dyDescent="0.2">
      <c r="B20" s="3" t="s">
        <v>116</v>
      </c>
      <c r="C20" t="s">
        <v>153</v>
      </c>
      <c r="D20" t="s">
        <v>115</v>
      </c>
      <c r="E20" s="14">
        <v>10</v>
      </c>
      <c r="F20" s="19">
        <v>2.5000000000000001E-2</v>
      </c>
      <c r="G20" s="18">
        <f t="shared" si="0"/>
        <v>0.25</v>
      </c>
      <c r="I20" s="9" t="s">
        <v>117</v>
      </c>
      <c r="J20" t="s">
        <v>115</v>
      </c>
    </row>
  </sheetData>
  <hyperlinks>
    <hyperlink ref="I2" r:id="rId1" xr:uid="{784743AC-1CA9-2E4A-B45E-71C10508EDE0}"/>
    <hyperlink ref="I17" r:id="rId2" xr:uid="{151EA8BB-FCA8-4242-89E5-22A6BAA0DF4A}"/>
    <hyperlink ref="I12" r:id="rId3" xr:uid="{E869A8A3-1E39-324F-B9EB-AEB400CA1C48}"/>
    <hyperlink ref="I4" r:id="rId4" xr:uid="{2FAD39F5-B682-8846-97F2-096DB73A8DB6}"/>
    <hyperlink ref="I15" r:id="rId5" xr:uid="{D3EC366E-078B-CC4B-81D0-A5AF54E25A6F}"/>
    <hyperlink ref="I14" r:id="rId6" xr:uid="{9FA52737-046B-F94E-BD9A-848A25C977F8}"/>
    <hyperlink ref="I10" r:id="rId7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8" xr:uid="{E36B3917-034D-4546-AC9A-28C3CFF43C58}"/>
    <hyperlink ref="I16" r:id="rId9" xr:uid="{D717E9B0-7B3E-914B-A144-1A9E7938A3E3}"/>
    <hyperlink ref="I19" r:id="rId10" xr:uid="{1BFBF5F8-A755-C040-B919-854624B1561B}"/>
    <hyperlink ref="I18" r:id="rId11" xr:uid="{E795A01A-E799-B04D-A5E2-5F82BC618D8D}"/>
    <hyperlink ref="I20" r:id="rId12" xr:uid="{D54F72EC-6324-934D-86F6-CAC1B1BEB84D}"/>
    <hyperlink ref="I8" r:id="rId13" xr:uid="{50120389-F8DF-DF40-9233-9A6B37C405C5}"/>
    <hyperlink ref="I13" r:id="rId14" xr:uid="{27B8C719-388A-7745-9A17-B4D105976BCB}"/>
    <hyperlink ref="I5" r:id="rId15" xr:uid="{B4A5999F-110E-5F4B-8D7D-E9F98C55BC7F}"/>
    <hyperlink ref="J5" r:id="rId16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7" xr:uid="{1F0504D9-999B-604A-BC8C-1DD58F2649EA}"/>
    <hyperlink ref="I7" r:id="rId18" xr:uid="{565A1A2A-1FB1-4D4C-A2AD-F6B6C84B766A}"/>
    <hyperlink ref="J7" r:id="rId19" xr:uid="{14BD23B7-0DF2-9B45-A14B-30760B9BE651}"/>
    <hyperlink ref="I9" r:id="rId20" xr:uid="{9ADD7A19-15AF-004C-80C5-0F4C51699992}"/>
    <hyperlink ref="I11" r:id="rId21" xr:uid="{403F295A-2B42-DE4C-8F52-FE0B71B85B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Bill of Materials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2026-05-18T14:23:24Z</dcterms:modified>
  <cp:category/>
  <cp:contentStatus/>
</cp:coreProperties>
</file>