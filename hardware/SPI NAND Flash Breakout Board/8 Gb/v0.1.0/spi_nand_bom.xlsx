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emailsc-my.sharepoint.com/personal/dstjohn_email_sc_edu/Documents/Desktop/Edge-Computing-Power-Management-Development-Kit/hardware/SPI NAND Flash Breakout Board/8 Gb/v0.1.0/"/>
    </mc:Choice>
  </mc:AlternateContent>
  <xr:revisionPtr revIDLastSave="98" documentId="11_5A4B2C90D3AEA2794F446FDFF5D8B87F547F059E" xr6:coauthVersionLast="47" xr6:coauthVersionMax="47" xr10:uidLastSave="{ED232BE9-85F5-4EDC-B549-2D266777E142}"/>
  <bookViews>
    <workbookView xWindow="-120" yWindow="-120" windowWidth="29040" windowHeight="15720" xr2:uid="{00000000-000D-0000-FFFF-FFFF00000000}"/>
  </bookViews>
  <sheets>
    <sheet name="BOM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3" l="1"/>
  <c r="G7" i="3"/>
  <c r="G5" i="3"/>
  <c r="G3" i="3"/>
  <c r="G2" i="3"/>
  <c r="G6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<sst xmlns="http://schemas.openxmlformats.org/spreadsheetml/2006/main" count="42" uniqueCount="40">
  <si>
    <t>Notes</t>
  </si>
  <si>
    <t>J1</t>
  </si>
  <si>
    <t>AS5F18G04SND-10LIN</t>
  </si>
  <si>
    <t>Designator</t>
  </si>
  <si>
    <t>Component</t>
  </si>
  <si>
    <t>Mfr: #</t>
  </si>
  <si>
    <t>Quantity per Board</t>
  </si>
  <si>
    <t>Total Quantity</t>
  </si>
  <si>
    <t>Unit Cost</t>
  </si>
  <si>
    <t>Total Cost</t>
  </si>
  <si>
    <t>Vendo 1</t>
  </si>
  <si>
    <t>Vendor 2</t>
  </si>
  <si>
    <t>Vendor 3</t>
  </si>
  <si>
    <t>Vendor 4</t>
  </si>
  <si>
    <t xml:space="preserve"> </t>
  </si>
  <si>
    <t>TXB0106PWR</t>
  </si>
  <si>
    <t>Conn_01x08_Pin</t>
  </si>
  <si>
    <t>C1,C2,C5</t>
  </si>
  <si>
    <t>C3,C4,C6</t>
  </si>
  <si>
    <t>R1,R2,R3,R4</t>
  </si>
  <si>
    <t>U1</t>
  </si>
  <si>
    <t>U2</t>
  </si>
  <si>
    <t>U3</t>
  </si>
  <si>
    <t>1uF (0805_2012)</t>
  </si>
  <si>
    <t>100nF (0805_2012)</t>
  </si>
  <si>
    <t xml:space="preserve">https://www.digikey.com/en/products/detail/texas-instruments/TXB0106PWR/1951119?s=N4IgTCBcDaICoA0BCAGAjCgbABQOogF0BfIA </t>
  </si>
  <si>
    <t>https://www.digikey.com/en/products/detail/diodes-incorporated/AP2127K-1-8TRG1/4470784?s=N4IgTCBcDaIIIAUwEYwHYDSBaZA6AHCALoC%2BQA</t>
  </si>
  <si>
    <t xml:space="preserve">https://www.digikey.com/en/products/detail/alliance-memory-inc/AS5F18G04SND-10LIN/13282906?s=N4IgTCBcDaIIIGUCsAxAjADgOIAYAsCAcgCIC0aOAMgJKEgC6AvkA </t>
  </si>
  <si>
    <t>10k (0805_2012)</t>
  </si>
  <si>
    <t xml:space="preserve">https://www.digikey.com/en/products/detail/stackpole-electronics-inc/RMCF0805FT10K0/1760676 </t>
  </si>
  <si>
    <t>0805ZC105KAT2A</t>
  </si>
  <si>
    <t xml:space="preserve">https://www.digikey.com/en/products/detail/kyocera-avx/0805ZC105KAT2A/563515 </t>
  </si>
  <si>
    <t>0805ZD104KAT2A</t>
  </si>
  <si>
    <t>NA</t>
  </si>
  <si>
    <t>https://www.digikey.com/en/products/detail/kyocera-avx/0805ZD104KAT2A/1603455</t>
  </si>
  <si>
    <t>RMCF0805FT10K0</t>
  </si>
  <si>
    <t>AP2127K-1.8TRG1</t>
  </si>
  <si>
    <t>Linear Regulator</t>
  </si>
  <si>
    <t>Level Shifter</t>
  </si>
  <si>
    <t>Flash NAND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</si>
</sst>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0">
    <font>
      <sz val="11"/>
      <name val="Carlito"/>
    </font>
    <font>
      <b/>
      <sz val="11"/>
      <color theme="1"/>
      <name val="Calibri"/>
      <family val="2"/>
      <scheme val="minor"/>
    </font>
    <font>
      <u/>
      <sz val="11"/>
      <color theme="10"/>
      <name val="Carlito"/>
    </font>
    <font>
      <sz val="11"/>
      <name val="Calibri"/>
      <family val="2"/>
      <scheme val="major"/>
    </font>
    <font>
      <sz val="11"/>
      <color rgb="FF444444"/>
      <name val="Calibri"/>
      <family val="2"/>
      <scheme val="major"/>
    </font>
    <font>
      <sz val="11"/>
      <color theme="1"/>
      <name val="Calibri"/>
      <family val="2"/>
      <scheme val="major"/>
    </font>
    <font>
      <b/>
      <sz val="11"/>
      <name val="Carlito"/>
    </font>
    <font>
      <sz val="11"/>
      <name val="Carlito"/>
    </font>
    <font>
      <sz val="11"/>
      <name val="Calibri"/>
      <family val="2"/>
      <scheme val="minor"/>
    </font>
    <font>
      <sz val="11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  <xf numFmtId="164" fontId="3" fillId="0" borderId="0" xfId="2" applyNumberFormat="1" applyFont="1"/>
    <xf numFmtId="164" fontId="5" fillId="0" borderId="0" xfId="2" applyNumberFormat="1" applyFont="1" applyAlignment="1">
      <alignment horizontal="left"/>
    </xf>
    <xf numFmtId="0" fontId="8" fillId="0" borderId="0" xfId="0" applyFont="1"/>
    <xf numFmtId="44" fontId="8" fillId="0" borderId="0" xfId="3" applyFont="1"/>
    <xf numFmtId="44" fontId="9" fillId="0" borderId="0" xfId="3" applyFont="1"/>
    <xf numFmtId="0" fontId="2" fillId="0" borderId="0" xfId="1"/>
    <xf numFmtId="0" fontId="2" fillId="0" borderId="0" xfId="1" applyAlignment="1">
      <alignment horizontal="left"/>
    </xf>
  </cellXfs>
  <cellStyles count="4">
    <cellStyle name="Comma" xfId="2" builtinId="3"/>
    <cellStyle name="Currency" xfId="3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alliance-memory-inc/AS5F18G04SND-10LIN/13282906?s=N4IgTCBcDaIIIGUCsAxAjADgOIAYAsCAcgCIC0aOAMgJKEgC6AvkA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com/en/products/detail/diodes-incorporated/AP2127K-1-8TRG1/4470784?s=N4IgTCBcDaIIIAUwEYwHYDSBaZA6AHCALoC%2BQA" TargetMode="External"/><Relationship Id="rId1" Type="http://schemas.openxmlformats.org/officeDocument/2006/relationships/hyperlink" Target="https://www.digikey.com/en/products/detail/texas-instruments/TXB0106PWR/1951119?s=N4IgTCBcDaICoA0BCAGAjCgbABQOogF0BfIA" TargetMode="External"/><Relationship Id="rId6" Type="http://schemas.openxmlformats.org/officeDocument/2006/relationships/hyperlink" Target="https://www.digikey.com/en/products/detail/kyocera-avx/0805ZD104KAT2A/1603455" TargetMode="External"/><Relationship Id="rId5" Type="http://schemas.openxmlformats.org/officeDocument/2006/relationships/hyperlink" Target="https://www.digikey.com/en/products/detail/kyocera-avx/0805ZC105KAT2A/563515" TargetMode="External"/><Relationship Id="rId4" Type="http://schemas.openxmlformats.org/officeDocument/2006/relationships/hyperlink" Target="https://www.digikey.com/en/products/detail/stackpole-electronics-inc/RMCF0805FT10K0/17606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2B87F-5173-4193-A830-E49BA38F1355}">
  <dimension ref="A1:L11"/>
  <sheetViews>
    <sheetView tabSelected="1" workbookViewId="0">
      <selection activeCell="K20" sqref="K20"/>
    </sheetView>
  </sheetViews>
  <sheetFormatPr defaultRowHeight="15"/>
  <cols>
    <col min="1" max="1" width="11.875" bestFit="1" customWidth="1"/>
    <col min="2" max="2" width="20.125" bestFit="1" customWidth="1"/>
    <col min="3" max="3" width="5.5" bestFit="1" customWidth="1"/>
    <col min="4" max="4" width="15.625" bestFit="1" customWidth="1"/>
    <col min="5" max="5" width="11.875" bestFit="1" customWidth="1"/>
    <col min="6" max="6" width="8" style="8" bestFit="1" customWidth="1"/>
    <col min="7" max="7" width="8.5" style="8" bestFit="1" customWidth="1"/>
    <col min="8" max="8" width="5.5" bestFit="1" customWidth="1"/>
    <col min="9" max="9" width="7.25" bestFit="1" customWidth="1"/>
    <col min="10" max="12" width="7.875" bestFit="1" customWidth="1"/>
  </cols>
  <sheetData>
    <row r="1" spans="1:12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0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>
      <c r="A2" t="s">
        <v>17</v>
      </c>
      <c r="B2" t="s">
        <v>23</v>
      </c>
      <c r="C2" s="4" t="s">
        <v>30</v>
      </c>
      <c r="D2" s="6">
        <v>3</v>
      </c>
      <c r="E2" s="7">
        <f>D2*3</f>
        <v>9</v>
      </c>
      <c r="F2" s="9">
        <v>9.0999999999999998E-2</v>
      </c>
      <c r="G2" s="9">
        <f t="shared" ref="G2:G5" si="0">F2*E2</f>
        <v>0.81899999999999995</v>
      </c>
      <c r="H2" s="2"/>
      <c r="I2" s="12" t="s">
        <v>31</v>
      </c>
      <c r="J2" t="s">
        <v>14</v>
      </c>
    </row>
    <row r="3" spans="1:12">
      <c r="A3" t="s">
        <v>18</v>
      </c>
      <c r="B3" t="s">
        <v>24</v>
      </c>
      <c r="C3" s="3" t="s">
        <v>32</v>
      </c>
      <c r="D3" s="6">
        <v>3</v>
      </c>
      <c r="E3" s="7">
        <f t="shared" ref="E3:E8" si="1">D3*3</f>
        <v>9</v>
      </c>
      <c r="F3" s="10">
        <v>4.5999999999999999E-2</v>
      </c>
      <c r="G3" s="9">
        <f t="shared" si="0"/>
        <v>0.41399999999999998</v>
      </c>
      <c r="H3" s="2"/>
      <c r="I3" s="12" t="s">
        <v>34</v>
      </c>
    </row>
    <row r="4" spans="1:12">
      <c r="A4" t="s">
        <v>1</v>
      </c>
      <c r="B4" t="s">
        <v>16</v>
      </c>
      <c r="C4" s="2"/>
      <c r="D4" s="6">
        <v>1</v>
      </c>
      <c r="E4" s="7">
        <f t="shared" si="1"/>
        <v>3</v>
      </c>
      <c r="F4" s="9" t="s">
        <v>33</v>
      </c>
      <c r="G4" s="9" t="s">
        <v>33</v>
      </c>
      <c r="H4" s="2"/>
      <c r="I4" s="2" t="s">
        <v>33</v>
      </c>
    </row>
    <row r="5" spans="1:12">
      <c r="A5" t="s">
        <v>19</v>
      </c>
      <c r="B5" t="s">
        <v>28</v>
      </c>
      <c r="C5" s="2" t="s">
        <v>35</v>
      </c>
      <c r="D5" s="6">
        <v>4</v>
      </c>
      <c r="E5" s="7">
        <f t="shared" si="1"/>
        <v>12</v>
      </c>
      <c r="F5" s="9">
        <v>2.7E-2</v>
      </c>
      <c r="G5" s="9">
        <f t="shared" si="0"/>
        <v>0.32400000000000001</v>
      </c>
      <c r="H5" s="2"/>
      <c r="I5" s="11" t="s">
        <v>29</v>
      </c>
    </row>
    <row r="6" spans="1:12">
      <c r="A6" t="s">
        <v>20</v>
      </c>
      <c r="B6" t="s">
        <v>39</v>
      </c>
      <c r="C6" t="s">
        <v>2</v>
      </c>
      <c r="D6" s="6">
        <v>1</v>
      </c>
      <c r="E6" s="7">
        <f t="shared" si="1"/>
        <v>3</v>
      </c>
      <c r="F6" s="9">
        <v>27.21</v>
      </c>
      <c r="G6" s="9">
        <f>F6*E6</f>
        <v>81.63</v>
      </c>
      <c r="H6" s="2"/>
      <c r="I6" s="11" t="s">
        <v>27</v>
      </c>
    </row>
    <row r="7" spans="1:12">
      <c r="A7" t="s">
        <v>21</v>
      </c>
      <c r="B7" t="s">
        <v>38</v>
      </c>
      <c r="C7" t="s">
        <v>15</v>
      </c>
      <c r="D7" s="6">
        <v>1</v>
      </c>
      <c r="E7" s="7">
        <f t="shared" si="1"/>
        <v>3</v>
      </c>
      <c r="F7" s="9">
        <v>1.8</v>
      </c>
      <c r="G7" s="9">
        <f t="shared" ref="G7:G8" si="2">F7*E7</f>
        <v>5.4</v>
      </c>
      <c r="I7" s="11" t="s">
        <v>25</v>
      </c>
    </row>
    <row r="8" spans="1:12">
      <c r="A8" t="s">
        <v>22</v>
      </c>
      <c r="B8" t="s">
        <v>37</v>
      </c>
      <c r="C8" t="s">
        <v>36</v>
      </c>
      <c r="D8" s="6">
        <v>1</v>
      </c>
      <c r="E8" s="7">
        <f t="shared" si="1"/>
        <v>3</v>
      </c>
      <c r="F8" s="9">
        <v>0.2</v>
      </c>
      <c r="G8" s="9">
        <f t="shared" si="2"/>
        <v>0.60000000000000009</v>
      </c>
      <c r="I8" s="11" t="s">
        <v>26</v>
      </c>
    </row>
    <row r="9" spans="1:12">
      <c r="F9" s="9"/>
      <c r="G9" s="9"/>
    </row>
    <row r="10" spans="1:12">
      <c r="F10" s="9"/>
      <c r="G10" s="9"/>
    </row>
    <row r="11" spans="1:12">
      <c r="A11" s="5"/>
      <c r="F11" s="9"/>
      <c r="G11" s="9"/>
    </row>
  </sheetData>
  <hyperlinks>
    <hyperlink ref="I7" r:id="rId1" xr:uid="{8F516EA9-FEB5-4396-B427-D57A0D7DFD07}"/>
    <hyperlink ref="I8" r:id="rId2" xr:uid="{3502106A-DAE7-4CE9-B39C-6E31C816D3FA}"/>
    <hyperlink ref="I6" r:id="rId3" xr:uid="{8843C436-EF40-47A6-BB76-9BA3456D2FD8}"/>
    <hyperlink ref="I5" r:id="rId4" xr:uid="{0332E2DA-5C69-4DEF-9E75-A9B3F698110E}"/>
    <hyperlink ref="I2" r:id="rId5" xr:uid="{F87F9922-0400-4288-BE04-DD845F10594E}"/>
    <hyperlink ref="I3" r:id="rId6" xr:uid="{A6626124-0409-42E1-B1E3-453A03F50E46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 John, David</cp:lastModifiedBy>
  <dcterms:modified xsi:type="dcterms:W3CDTF">2026-08-21T19:36:00Z</dcterms:modified>
</cp:coreProperties>
</file>